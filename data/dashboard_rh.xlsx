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042da46fce511d/Desktop/Projetos/Excel/Projeto - Dash RH/"/>
    </mc:Choice>
  </mc:AlternateContent>
  <xr:revisionPtr revIDLastSave="5" documentId="8_{D89C7942-DD37-4A07-B902-F5F7F5893D32}" xr6:coauthVersionLast="47" xr6:coauthVersionMax="47" xr10:uidLastSave="{A5C65E39-F097-40AC-9C0C-3A8194A93CFF}"/>
  <bookViews>
    <workbookView xWindow="-120" yWindow="-120" windowWidth="29040" windowHeight="15720" xr2:uid="{6A605C1C-CB02-4ECD-A03A-F6D1C9C9F4D0}"/>
  </bookViews>
  <sheets>
    <sheet name="Dashboard" sheetId="5" r:id="rId1"/>
    <sheet name="analise_estado_civil" sheetId="11" state="hidden" r:id="rId2"/>
    <sheet name="analise_geral" sheetId="3" state="hidden" r:id="rId3"/>
    <sheet name="analise_genero" sheetId="6" state="hidden" r:id="rId4"/>
    <sheet name="analise_educacao" sheetId="7" state="hidden" r:id="rId5"/>
    <sheet name="analise_cargo" sheetId="8" state="hidden" r:id="rId6"/>
    <sheet name="analise_departamento" sheetId="9" state="hidden" r:id="rId7"/>
    <sheet name="analise_idade" sheetId="10" state="hidden" r:id="rId8"/>
    <sheet name="DadosRh" sheetId="2" r:id="rId9"/>
  </sheets>
  <definedNames>
    <definedName name="_xlchart.v2.0" hidden="1">analise_estado_civil!$H$5:$H$7</definedName>
    <definedName name="_xlchart.v2.1" hidden="1">analise_estado_civil!$I$4</definedName>
    <definedName name="_xlchart.v2.2" hidden="1">analise_estado_civil!$I$5:$I$7</definedName>
    <definedName name="DadosExternos_1" localSheetId="8" hidden="1">DadosRh!$A$1:$AI$1471</definedName>
    <definedName name="SegmentaçãodeDados_Campo_Educacional_PT_BR">#N/A</definedName>
    <definedName name="SegmentaçãodeDados_Departamento_PT_BR">#N/A</definedName>
    <definedName name="SegmentaçãodeDados_Gênero_PT_BR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2" i="2" l="1" a="1"/>
  <c r="AL2" i="2" s="1"/>
  <c r="AL3" i="2" a="1"/>
  <c r="AL3" i="2" s="1"/>
  <c r="AL4" i="2" a="1"/>
  <c r="AL4" i="2" s="1"/>
  <c r="AL5" i="2" a="1"/>
  <c r="AL5" i="2" s="1"/>
  <c r="AL6" i="2" a="1"/>
  <c r="AL6" i="2" s="1"/>
  <c r="AL7" i="2" a="1"/>
  <c r="AL7" i="2" s="1"/>
  <c r="AL8" i="2" a="1"/>
  <c r="AL8" i="2" s="1"/>
  <c r="AL9" i="2" a="1"/>
  <c r="AL9" i="2" s="1"/>
  <c r="AL10" i="2" a="1"/>
  <c r="AL10" i="2" s="1"/>
  <c r="AL11" i="2" a="1"/>
  <c r="AL11" i="2" s="1"/>
  <c r="AL12" i="2" a="1"/>
  <c r="AL12" i="2" s="1"/>
  <c r="AL13" i="2" a="1"/>
  <c r="AL13" i="2" s="1"/>
  <c r="AL14" i="2" a="1"/>
  <c r="AL14" i="2" s="1"/>
  <c r="AL15" i="2" a="1"/>
  <c r="AL15" i="2" s="1"/>
  <c r="AL16" i="2" a="1"/>
  <c r="AL16" i="2" s="1"/>
  <c r="AL17" i="2" a="1"/>
  <c r="AL17" i="2" s="1"/>
  <c r="AL18" i="2" a="1"/>
  <c r="AL18" i="2" s="1"/>
  <c r="AL19" i="2" a="1"/>
  <c r="AL19" i="2" s="1"/>
  <c r="AL20" i="2" a="1"/>
  <c r="AL20" i="2" s="1"/>
  <c r="AL21" i="2" a="1"/>
  <c r="AL21" i="2" s="1"/>
  <c r="AL22" i="2" a="1"/>
  <c r="AL22" i="2" s="1"/>
  <c r="AL23" i="2" a="1"/>
  <c r="AL23" i="2" s="1"/>
  <c r="AL24" i="2" a="1"/>
  <c r="AL24" i="2" s="1"/>
  <c r="AL25" i="2" a="1"/>
  <c r="AL25" i="2" s="1"/>
  <c r="AL26" i="2" a="1"/>
  <c r="AL26" i="2" s="1"/>
  <c r="AL27" i="2" a="1"/>
  <c r="AL27" i="2"/>
  <c r="AL28" i="2" a="1"/>
  <c r="AL28" i="2" s="1"/>
  <c r="AL29" i="2" a="1"/>
  <c r="AL29" i="2" s="1"/>
  <c r="AL30" i="2" a="1"/>
  <c r="AL30" i="2" s="1"/>
  <c r="AL31" i="2" a="1"/>
  <c r="AL31" i="2" s="1"/>
  <c r="AL32" i="2" a="1"/>
  <c r="AL32" i="2" s="1"/>
  <c r="AL33" i="2" a="1"/>
  <c r="AL33" i="2"/>
  <c r="AL34" i="2" a="1"/>
  <c r="AL34" i="2" s="1"/>
  <c r="AL35" i="2" a="1"/>
  <c r="AL35" i="2" s="1"/>
  <c r="AL36" i="2" a="1"/>
  <c r="AL36" i="2" s="1"/>
  <c r="AL37" i="2" a="1"/>
  <c r="AL37" i="2" s="1"/>
  <c r="AL38" i="2" a="1"/>
  <c r="AL38" i="2" s="1"/>
  <c r="AL39" i="2" a="1"/>
  <c r="AL39" i="2" s="1"/>
  <c r="AL40" i="2" a="1"/>
  <c r="AL40" i="2" s="1"/>
  <c r="AL41" i="2" a="1"/>
  <c r="AL41" i="2" s="1"/>
  <c r="AL42" i="2" a="1"/>
  <c r="AL42" i="2" s="1"/>
  <c r="AL43" i="2" a="1"/>
  <c r="AL43" i="2" s="1"/>
  <c r="AL44" i="2" a="1"/>
  <c r="AL44" i="2" s="1"/>
  <c r="AL45" i="2" a="1"/>
  <c r="AL45" i="2" s="1"/>
  <c r="AL46" i="2" a="1"/>
  <c r="AL46" i="2" s="1"/>
  <c r="AL47" i="2" a="1"/>
  <c r="AL47" i="2" s="1"/>
  <c r="AL48" i="2" a="1"/>
  <c r="AL48" i="2"/>
  <c r="AL49" i="2" a="1"/>
  <c r="AL49" i="2" s="1"/>
  <c r="AL50" i="2" a="1"/>
  <c r="AL50" i="2"/>
  <c r="AL51" i="2" a="1"/>
  <c r="AL51" i="2"/>
  <c r="AL52" i="2" a="1"/>
  <c r="AL52" i="2" s="1"/>
  <c r="AL53" i="2" a="1"/>
  <c r="AL53" i="2" s="1"/>
  <c r="AL54" i="2" a="1"/>
  <c r="AL54" i="2" s="1"/>
  <c r="AL55" i="2" a="1"/>
  <c r="AL55" i="2" s="1"/>
  <c r="AL56" i="2" a="1"/>
  <c r="AL56" i="2"/>
  <c r="AL57" i="2" a="1"/>
  <c r="AL57" i="2" s="1"/>
  <c r="AL58" i="2" a="1"/>
  <c r="AL58" i="2" s="1"/>
  <c r="AL59" i="2" a="1"/>
  <c r="AL59" i="2" s="1"/>
  <c r="AL60" i="2" a="1"/>
  <c r="AL60" i="2" s="1"/>
  <c r="AL61" i="2" a="1"/>
  <c r="AL61" i="2" s="1"/>
  <c r="AL62" i="2" a="1"/>
  <c r="AL62" i="2"/>
  <c r="AL63" i="2" a="1"/>
  <c r="AL63" i="2" s="1"/>
  <c r="AL64" i="2" a="1"/>
  <c r="AL64" i="2" s="1"/>
  <c r="AL65" i="2" a="1"/>
  <c r="AL65" i="2" s="1"/>
  <c r="AL66" i="2" a="1"/>
  <c r="AL66" i="2" s="1"/>
  <c r="AL67" i="2" a="1"/>
  <c r="AL67" i="2" s="1"/>
  <c r="AL68" i="2" a="1"/>
  <c r="AL68" i="2" s="1"/>
  <c r="AL69" i="2" a="1"/>
  <c r="AL69" i="2" s="1"/>
  <c r="AL70" i="2" a="1"/>
  <c r="AL70" i="2" s="1"/>
  <c r="AL71" i="2" a="1"/>
  <c r="AL71" i="2"/>
  <c r="AL72" i="2" a="1"/>
  <c r="AL72" i="2" s="1"/>
  <c r="AL73" i="2" a="1"/>
  <c r="AL73" i="2" s="1"/>
  <c r="AL74" i="2" a="1"/>
  <c r="AL74" i="2" s="1"/>
  <c r="AL75" i="2" a="1"/>
  <c r="AL75" i="2" s="1"/>
  <c r="AL76" i="2" a="1"/>
  <c r="AL76" i="2" s="1"/>
  <c r="AL77" i="2" a="1"/>
  <c r="AL77" i="2" s="1"/>
  <c r="AL78" i="2" a="1"/>
  <c r="AL78" i="2" s="1"/>
  <c r="AL79" i="2" a="1"/>
  <c r="AL79" i="2" s="1"/>
  <c r="AL80" i="2" a="1"/>
  <c r="AL80" i="2"/>
  <c r="AL81" i="2" a="1"/>
  <c r="AL81" i="2" s="1"/>
  <c r="AL82" i="2" a="1"/>
  <c r="AL82" i="2" s="1"/>
  <c r="AL83" i="2" a="1"/>
  <c r="AL83" i="2" s="1"/>
  <c r="AL84" i="2" a="1"/>
  <c r="AL84" i="2" s="1"/>
  <c r="AL85" i="2" a="1"/>
  <c r="AL85" i="2" s="1"/>
  <c r="AL86" i="2" a="1"/>
  <c r="AL86" i="2" s="1"/>
  <c r="AL87" i="2" a="1"/>
  <c r="AL87" i="2" s="1"/>
  <c r="AL88" i="2" a="1"/>
  <c r="AL88" i="2" s="1"/>
  <c r="AL89" i="2" a="1"/>
  <c r="AL89" i="2" s="1"/>
  <c r="AL90" i="2" a="1"/>
  <c r="AL90" i="2" s="1"/>
  <c r="AL91" i="2" a="1"/>
  <c r="AL91" i="2" s="1"/>
  <c r="AL92" i="2" a="1"/>
  <c r="AL92" i="2" s="1"/>
  <c r="AL93" i="2" a="1"/>
  <c r="AL93" i="2" s="1"/>
  <c r="AL94" i="2" a="1"/>
  <c r="AL94" i="2" s="1"/>
  <c r="AL95" i="2" a="1"/>
  <c r="AL95" i="2" s="1"/>
  <c r="AL96" i="2" a="1"/>
  <c r="AL96" i="2" s="1"/>
  <c r="AL97" i="2" a="1"/>
  <c r="AL97" i="2" s="1"/>
  <c r="AL98" i="2" a="1"/>
  <c r="AL98" i="2" s="1"/>
  <c r="AL99" i="2" a="1"/>
  <c r="AL99" i="2" s="1"/>
  <c r="AL100" i="2" a="1"/>
  <c r="AL100" i="2" s="1"/>
  <c r="AL101" i="2" a="1"/>
  <c r="AL101" i="2" s="1"/>
  <c r="AL102" i="2" a="1"/>
  <c r="AL102" i="2" s="1"/>
  <c r="AL103" i="2" a="1"/>
  <c r="AL103" i="2" s="1"/>
  <c r="AL104" i="2" a="1"/>
  <c r="AL104" i="2" s="1"/>
  <c r="AL105" i="2" a="1"/>
  <c r="AL105" i="2"/>
  <c r="AL106" i="2" a="1"/>
  <c r="AL106" i="2" s="1"/>
  <c r="AL107" i="2" a="1"/>
  <c r="AL107" i="2" s="1"/>
  <c r="AL108" i="2" a="1"/>
  <c r="AL108" i="2" s="1"/>
  <c r="AL109" i="2" a="1"/>
  <c r="AL109" i="2" s="1"/>
  <c r="AL110" i="2" a="1"/>
  <c r="AL110" i="2"/>
  <c r="AL111" i="2" a="1"/>
  <c r="AL111" i="2" s="1"/>
  <c r="AL112" i="2" a="1"/>
  <c r="AL112" i="2" s="1"/>
  <c r="AL113" i="2" a="1"/>
  <c r="AL113" i="2" s="1"/>
  <c r="AL114" i="2" a="1"/>
  <c r="AL114" i="2" s="1"/>
  <c r="AL115" i="2" a="1"/>
  <c r="AL115" i="2" s="1"/>
  <c r="AL116" i="2" a="1"/>
  <c r="AL116" i="2" s="1"/>
  <c r="AL117" i="2" a="1"/>
  <c r="AL117" i="2" s="1"/>
  <c r="AL118" i="2" a="1"/>
  <c r="AL118" i="2" s="1"/>
  <c r="AL119" i="2" a="1"/>
  <c r="AL119" i="2" s="1"/>
  <c r="AL120" i="2" a="1"/>
  <c r="AL120" i="2" s="1"/>
  <c r="AL121" i="2" a="1"/>
  <c r="AL121" i="2" s="1"/>
  <c r="AL122" i="2" a="1"/>
  <c r="AL122" i="2"/>
  <c r="AL123" i="2" a="1"/>
  <c r="AL123" i="2"/>
  <c r="AL124" i="2" a="1"/>
  <c r="AL124" i="2" s="1"/>
  <c r="AL125" i="2" a="1"/>
  <c r="AL125" i="2" s="1"/>
  <c r="AL126" i="2" a="1"/>
  <c r="AL126" i="2" s="1"/>
  <c r="AL127" i="2" a="1"/>
  <c r="AL127" i="2" s="1"/>
  <c r="AL128" i="2" a="1"/>
  <c r="AL128" i="2" s="1"/>
  <c r="AL129" i="2" a="1"/>
  <c r="AL129" i="2" s="1"/>
  <c r="AL130" i="2" a="1"/>
  <c r="AL130" i="2" s="1"/>
  <c r="AL131" i="2" a="1"/>
  <c r="AL131" i="2" s="1"/>
  <c r="AL132" i="2" a="1"/>
  <c r="AL132" i="2" s="1"/>
  <c r="AL133" i="2" a="1"/>
  <c r="AL133" i="2" s="1"/>
  <c r="AL134" i="2" a="1"/>
  <c r="AL134" i="2" s="1"/>
  <c r="AL135" i="2" a="1"/>
  <c r="AL135" i="2"/>
  <c r="AL136" i="2" a="1"/>
  <c r="AL136" i="2" s="1"/>
  <c r="AL137" i="2" a="1"/>
  <c r="AL137" i="2" s="1"/>
  <c r="AL138" i="2" a="1"/>
  <c r="AL138" i="2" s="1"/>
  <c r="AL139" i="2" a="1"/>
  <c r="AL139" i="2" s="1"/>
  <c r="AL140" i="2" a="1"/>
  <c r="AL140" i="2" s="1"/>
  <c r="AL141" i="2" a="1"/>
  <c r="AL141" i="2" s="1"/>
  <c r="AL142" i="2" a="1"/>
  <c r="AL142" i="2" s="1"/>
  <c r="AL143" i="2" a="1"/>
  <c r="AL143" i="2" s="1"/>
  <c r="AL144" i="2" a="1"/>
  <c r="AL144" i="2" s="1"/>
  <c r="AL145" i="2" a="1"/>
  <c r="AL145" i="2" s="1"/>
  <c r="AL146" i="2" a="1"/>
  <c r="AL146" i="2" s="1"/>
  <c r="AL147" i="2" a="1"/>
  <c r="AL147" i="2" s="1"/>
  <c r="AL148" i="2" a="1"/>
  <c r="AL148" i="2" s="1"/>
  <c r="AL149" i="2" a="1"/>
  <c r="AL149" i="2"/>
  <c r="AL150" i="2" a="1"/>
  <c r="AL150" i="2" s="1"/>
  <c r="AL151" i="2" a="1"/>
  <c r="AL151" i="2" s="1"/>
  <c r="AL152" i="2" a="1"/>
  <c r="AL152" i="2" s="1"/>
  <c r="AL153" i="2" a="1"/>
  <c r="AL153" i="2" s="1"/>
  <c r="AL154" i="2" a="1"/>
  <c r="AL154" i="2" s="1"/>
  <c r="AL155" i="2" a="1"/>
  <c r="AL155" i="2" s="1"/>
  <c r="AL156" i="2" a="1"/>
  <c r="AL156" i="2" s="1"/>
  <c r="AL157" i="2" a="1"/>
  <c r="AL157" i="2" s="1"/>
  <c r="AL158" i="2" a="1"/>
  <c r="AL158" i="2" s="1"/>
  <c r="AL159" i="2" a="1"/>
  <c r="AL159" i="2" s="1"/>
  <c r="AL160" i="2" a="1"/>
  <c r="AL160" i="2" s="1"/>
  <c r="AL161" i="2" a="1"/>
  <c r="AL161" i="2" s="1"/>
  <c r="AL162" i="2" a="1"/>
  <c r="AL162" i="2" s="1"/>
  <c r="AL163" i="2" a="1"/>
  <c r="AL163" i="2" s="1"/>
  <c r="AL164" i="2" a="1"/>
  <c r="AL164" i="2" s="1"/>
  <c r="AL165" i="2" a="1"/>
  <c r="AL165" i="2" s="1"/>
  <c r="AL166" i="2" a="1"/>
  <c r="AL166" i="2" s="1"/>
  <c r="AL167" i="2" a="1"/>
  <c r="AL167" i="2" s="1"/>
  <c r="AL168" i="2" a="1"/>
  <c r="AL168" i="2" s="1"/>
  <c r="AL169" i="2" a="1"/>
  <c r="AL169" i="2" s="1"/>
  <c r="AL170" i="2" a="1"/>
  <c r="AL170" i="2" s="1"/>
  <c r="AL171" i="2" a="1"/>
  <c r="AL171" i="2"/>
  <c r="AL172" i="2" a="1"/>
  <c r="AL172" i="2" s="1"/>
  <c r="AL173" i="2" a="1"/>
  <c r="AL173" i="2" s="1"/>
  <c r="AL174" i="2" a="1"/>
  <c r="AL174" i="2" s="1"/>
  <c r="AL175" i="2" a="1"/>
  <c r="AL175" i="2" s="1"/>
  <c r="AL176" i="2" a="1"/>
  <c r="AL176" i="2" s="1"/>
  <c r="AL177" i="2" a="1"/>
  <c r="AL177" i="2" s="1"/>
  <c r="AL178" i="2" a="1"/>
  <c r="AL178" i="2" s="1"/>
  <c r="AL179" i="2" a="1"/>
  <c r="AL179" i="2" s="1"/>
  <c r="AL180" i="2" a="1"/>
  <c r="AL180" i="2" s="1"/>
  <c r="AL181" i="2" a="1"/>
  <c r="AL181" i="2" s="1"/>
  <c r="AL182" i="2" a="1"/>
  <c r="AL182" i="2" s="1"/>
  <c r="AL183" i="2" a="1"/>
  <c r="AL183" i="2" s="1"/>
  <c r="AL184" i="2" a="1"/>
  <c r="AL184" i="2" s="1"/>
  <c r="AL185" i="2" a="1"/>
  <c r="AL185" i="2"/>
  <c r="AL186" i="2" a="1"/>
  <c r="AL186" i="2" s="1"/>
  <c r="AL187" i="2" a="1"/>
  <c r="AL187" i="2" s="1"/>
  <c r="AL188" i="2" a="1"/>
  <c r="AL188" i="2" s="1"/>
  <c r="AL189" i="2" a="1"/>
  <c r="AL189" i="2" s="1"/>
  <c r="AL190" i="2" a="1"/>
  <c r="AL190" i="2" s="1"/>
  <c r="AL191" i="2" a="1"/>
  <c r="AL191" i="2" s="1"/>
  <c r="AL192" i="2" a="1"/>
  <c r="AL192" i="2"/>
  <c r="AL193" i="2" a="1"/>
  <c r="AL193" i="2" s="1"/>
  <c r="AL194" i="2" a="1"/>
  <c r="AL194" i="2" s="1"/>
  <c r="AL195" i="2" a="1"/>
  <c r="AL195" i="2" s="1"/>
  <c r="AL196" i="2" a="1"/>
  <c r="AL196" i="2" s="1"/>
  <c r="AL197" i="2" a="1"/>
  <c r="AL197" i="2" s="1"/>
  <c r="AL198" i="2" a="1"/>
  <c r="AL198" i="2" s="1"/>
  <c r="AL199" i="2" a="1"/>
  <c r="AL199" i="2" s="1"/>
  <c r="AL200" i="2" a="1"/>
  <c r="AL200" i="2"/>
  <c r="AL201" i="2" a="1"/>
  <c r="AL201" i="2" s="1"/>
  <c r="AL202" i="2" a="1"/>
  <c r="AL202" i="2" s="1"/>
  <c r="AL203" i="2" a="1"/>
  <c r="AL203" i="2" s="1"/>
  <c r="AL204" i="2" a="1"/>
  <c r="AL204" i="2" s="1"/>
  <c r="AL205" i="2" a="1"/>
  <c r="AL205" i="2" s="1"/>
  <c r="AL206" i="2" a="1"/>
  <c r="AL206" i="2"/>
  <c r="AL207" i="2" a="1"/>
  <c r="AL207" i="2"/>
  <c r="AL208" i="2" a="1"/>
  <c r="AL208" i="2" s="1"/>
  <c r="AL209" i="2" a="1"/>
  <c r="AL209" i="2" s="1"/>
  <c r="AL210" i="2" a="1"/>
  <c r="AL210" i="2" s="1"/>
  <c r="AL211" i="2" a="1"/>
  <c r="AL211" i="2" s="1"/>
  <c r="AL212" i="2" a="1"/>
  <c r="AL212" i="2" s="1"/>
  <c r="AL213" i="2" a="1"/>
  <c r="AL213" i="2" s="1"/>
  <c r="AL214" i="2" a="1"/>
  <c r="AL214" i="2" s="1"/>
  <c r="AL215" i="2" a="1"/>
  <c r="AL215" i="2" s="1"/>
  <c r="AL216" i="2" a="1"/>
  <c r="AL216" i="2" s="1"/>
  <c r="AL217" i="2" a="1"/>
  <c r="AL217" i="2" s="1"/>
  <c r="AL218" i="2" a="1"/>
  <c r="AL218" i="2"/>
  <c r="AL219" i="2" a="1"/>
  <c r="AL219" i="2" s="1"/>
  <c r="AL220" i="2" a="1"/>
  <c r="AL220" i="2" s="1"/>
  <c r="AL221" i="2" a="1"/>
  <c r="AL221" i="2" s="1"/>
  <c r="AL222" i="2" a="1"/>
  <c r="AL222" i="2" s="1"/>
  <c r="AL223" i="2" a="1"/>
  <c r="AL223" i="2" s="1"/>
  <c r="AL224" i="2" a="1"/>
  <c r="AL224" i="2"/>
  <c r="AL225" i="2" a="1"/>
  <c r="AL225" i="2"/>
  <c r="AL226" i="2" a="1"/>
  <c r="AL226" i="2" s="1"/>
  <c r="AL227" i="2" a="1"/>
  <c r="AL227" i="2" s="1"/>
  <c r="AL228" i="2" a="1"/>
  <c r="AL228" i="2" s="1"/>
  <c r="AL229" i="2" a="1"/>
  <c r="AL229" i="2" s="1"/>
  <c r="AL230" i="2" a="1"/>
  <c r="AL230" i="2" s="1"/>
  <c r="AL231" i="2" a="1"/>
  <c r="AL231" i="2" s="1"/>
  <c r="AL232" i="2" a="1"/>
  <c r="AL232" i="2" s="1"/>
  <c r="AL233" i="2" a="1"/>
  <c r="AL233" i="2" s="1"/>
  <c r="AL234" i="2" a="1"/>
  <c r="AL234" i="2" s="1"/>
  <c r="AL235" i="2" a="1"/>
  <c r="AL235" i="2" s="1"/>
  <c r="AL236" i="2" a="1"/>
  <c r="AL236" i="2" s="1"/>
  <c r="AL237" i="2" a="1"/>
  <c r="AL237" i="2" s="1"/>
  <c r="AL238" i="2" a="1"/>
  <c r="AL238" i="2" s="1"/>
  <c r="AL239" i="2" a="1"/>
  <c r="AL239" i="2" s="1"/>
  <c r="AL240" i="2" a="1"/>
  <c r="AL240" i="2" s="1"/>
  <c r="AL241" i="2" a="1"/>
  <c r="AL241" i="2" s="1"/>
  <c r="AL242" i="2" a="1"/>
  <c r="AL242" i="2" s="1"/>
  <c r="AL243" i="2" a="1"/>
  <c r="AL243" i="2" s="1"/>
  <c r="AL244" i="2" a="1"/>
  <c r="AL244" i="2" s="1"/>
  <c r="AL245" i="2" a="1"/>
  <c r="AL245" i="2" s="1"/>
  <c r="AL246" i="2" a="1"/>
  <c r="AL246" i="2" s="1"/>
  <c r="AL247" i="2" a="1"/>
  <c r="AL247" i="2" s="1"/>
  <c r="AL248" i="2" a="1"/>
  <c r="AL248" i="2" s="1"/>
  <c r="AL249" i="2" a="1"/>
  <c r="AL249" i="2" s="1"/>
  <c r="AL250" i="2" a="1"/>
  <c r="AL250" i="2" s="1"/>
  <c r="AL251" i="2" a="1"/>
  <c r="AL251" i="2" s="1"/>
  <c r="AL252" i="2" a="1"/>
  <c r="AL252" i="2" s="1"/>
  <c r="AL253" i="2" a="1"/>
  <c r="AL253" i="2" s="1"/>
  <c r="AL254" i="2" a="1"/>
  <c r="AL254" i="2"/>
  <c r="AL255" i="2" a="1"/>
  <c r="AL255" i="2" s="1"/>
  <c r="AL256" i="2" a="1"/>
  <c r="AL256" i="2" s="1"/>
  <c r="AL257" i="2" a="1"/>
  <c r="AL257" i="2" s="1"/>
  <c r="AL258" i="2" a="1"/>
  <c r="AL258" i="2" s="1"/>
  <c r="AL259" i="2" a="1"/>
  <c r="AL259" i="2" s="1"/>
  <c r="AL260" i="2" a="1"/>
  <c r="AL260" i="2" s="1"/>
  <c r="AL261" i="2" a="1"/>
  <c r="AL261" i="2" s="1"/>
  <c r="AL262" i="2" a="1"/>
  <c r="AL262" i="2" s="1"/>
  <c r="AL263" i="2" a="1"/>
  <c r="AL263" i="2" s="1"/>
  <c r="AL264" i="2" a="1"/>
  <c r="AL264" i="2"/>
  <c r="AL265" i="2" a="1"/>
  <c r="AL265" i="2" s="1"/>
  <c r="AL266" i="2" a="1"/>
  <c r="AL266" i="2"/>
  <c r="AL267" i="2" a="1"/>
  <c r="AL267" i="2"/>
  <c r="AL268" i="2" a="1"/>
  <c r="AL268" i="2" s="1"/>
  <c r="AL269" i="2" a="1"/>
  <c r="AL269" i="2" s="1"/>
  <c r="AL270" i="2" a="1"/>
  <c r="AL270" i="2" s="1"/>
  <c r="AL271" i="2" a="1"/>
  <c r="AL271" i="2" s="1"/>
  <c r="AL272" i="2" a="1"/>
  <c r="AL272" i="2"/>
  <c r="AL273" i="2" a="1"/>
  <c r="AL273" i="2" s="1"/>
  <c r="AL274" i="2" a="1"/>
  <c r="AL274" i="2" s="1"/>
  <c r="AL275" i="2" a="1"/>
  <c r="AL275" i="2" s="1"/>
  <c r="AL276" i="2" a="1"/>
  <c r="AL276" i="2" s="1"/>
  <c r="AL277" i="2" a="1"/>
  <c r="AL277" i="2" s="1"/>
  <c r="AL278" i="2" a="1"/>
  <c r="AL278" i="2"/>
  <c r="AL279" i="2" a="1"/>
  <c r="AL279" i="2"/>
  <c r="AL280" i="2" a="1"/>
  <c r="AL280" i="2" s="1"/>
  <c r="AL281" i="2" a="1"/>
  <c r="AL281" i="2" s="1"/>
  <c r="AL282" i="2" a="1"/>
  <c r="AL282" i="2" s="1"/>
  <c r="AL283" i="2" a="1"/>
  <c r="AL283" i="2" s="1"/>
  <c r="AL284" i="2" a="1"/>
  <c r="AL284" i="2" s="1"/>
  <c r="AL285" i="2" a="1"/>
  <c r="AL285" i="2" s="1"/>
  <c r="AL286" i="2" a="1"/>
  <c r="AL286" i="2" s="1"/>
  <c r="AL287" i="2" a="1"/>
  <c r="AL287" i="2" s="1"/>
  <c r="AL288" i="2" a="1"/>
  <c r="AL288" i="2" s="1"/>
  <c r="AL289" i="2" a="1"/>
  <c r="AL289" i="2" s="1"/>
  <c r="AL290" i="2" a="1"/>
  <c r="AL290" i="2" s="1"/>
  <c r="AL291" i="2" a="1"/>
  <c r="AL291" i="2" s="1"/>
  <c r="AL292" i="2" a="1"/>
  <c r="AL292" i="2" s="1"/>
  <c r="AL293" i="2" a="1"/>
  <c r="AL293" i="2" s="1"/>
  <c r="AL294" i="2" a="1"/>
  <c r="AL294" i="2" s="1"/>
  <c r="AL295" i="2" a="1"/>
  <c r="AL295" i="2" s="1"/>
  <c r="AL296" i="2" a="1"/>
  <c r="AL296" i="2"/>
  <c r="AL297" i="2" a="1"/>
  <c r="AL297" i="2"/>
  <c r="AL298" i="2" a="1"/>
  <c r="AL298" i="2" s="1"/>
  <c r="AL299" i="2" a="1"/>
  <c r="AL299" i="2" s="1"/>
  <c r="AL300" i="2" a="1"/>
  <c r="AL300" i="2" s="1"/>
  <c r="AL301" i="2" a="1"/>
  <c r="AL301" i="2" s="1"/>
  <c r="AL302" i="2" a="1"/>
  <c r="AL302" i="2"/>
  <c r="AL303" i="2" a="1"/>
  <c r="AL303" i="2" s="1"/>
  <c r="AL304" i="2" a="1"/>
  <c r="AL304" i="2" s="1"/>
  <c r="AL305" i="2" a="1"/>
  <c r="AL305" i="2" s="1"/>
  <c r="AL306" i="2" a="1"/>
  <c r="AL306" i="2" s="1"/>
  <c r="AL307" i="2" a="1"/>
  <c r="AL307" i="2" s="1"/>
  <c r="AL308" i="2" a="1"/>
  <c r="AL308" i="2" s="1"/>
  <c r="AL309" i="2" a="1"/>
  <c r="AL309" i="2" s="1"/>
  <c r="AL310" i="2" a="1"/>
  <c r="AL310" i="2" s="1"/>
  <c r="AL311" i="2" a="1"/>
  <c r="AL311" i="2" s="1"/>
  <c r="AL312" i="2" a="1"/>
  <c r="AL312" i="2" s="1"/>
  <c r="AL313" i="2" a="1"/>
  <c r="AL313" i="2" s="1"/>
  <c r="AL314" i="2" a="1"/>
  <c r="AL314" i="2" s="1"/>
  <c r="AL315" i="2" a="1"/>
  <c r="AL315" i="2"/>
  <c r="AL316" i="2" a="1"/>
  <c r="AL316" i="2" s="1"/>
  <c r="AL317" i="2" a="1"/>
  <c r="AL317" i="2" s="1"/>
  <c r="AL318" i="2" a="1"/>
  <c r="AL318" i="2" s="1"/>
  <c r="AL319" i="2" a="1"/>
  <c r="AL319" i="2" s="1"/>
  <c r="AL320" i="2" a="1"/>
  <c r="AL320" i="2"/>
  <c r="AL321" i="2" a="1"/>
  <c r="AL321" i="2" s="1"/>
  <c r="AL322" i="2" a="1"/>
  <c r="AL322" i="2" s="1"/>
  <c r="AL323" i="2" a="1"/>
  <c r="AL323" i="2" s="1"/>
  <c r="AL324" i="2" a="1"/>
  <c r="AL324" i="2" s="1"/>
  <c r="AL325" i="2" a="1"/>
  <c r="AL325" i="2" s="1"/>
  <c r="AL326" i="2" a="1"/>
  <c r="AL326" i="2"/>
  <c r="AL327" i="2" a="1"/>
  <c r="AL327" i="2" s="1"/>
  <c r="AL328" i="2" a="1"/>
  <c r="AL328" i="2" s="1"/>
  <c r="AL329" i="2" a="1"/>
  <c r="AL329" i="2" s="1"/>
  <c r="AL330" i="2" a="1"/>
  <c r="AL330" i="2" s="1"/>
  <c r="AL331" i="2" a="1"/>
  <c r="AL331" i="2" s="1"/>
  <c r="AL332" i="2" a="1"/>
  <c r="AL332" i="2" s="1"/>
  <c r="AL333" i="2" a="1"/>
  <c r="AL333" i="2"/>
  <c r="AL334" i="2" a="1"/>
  <c r="AL334" i="2" s="1"/>
  <c r="AL335" i="2" a="1"/>
  <c r="AL335" i="2" s="1"/>
  <c r="AL336" i="2" a="1"/>
  <c r="AL336" i="2" s="1"/>
  <c r="AL337" i="2" a="1"/>
  <c r="AL337" i="2" s="1"/>
  <c r="AL338" i="2" a="1"/>
  <c r="AL338" i="2"/>
  <c r="AL339" i="2" a="1"/>
  <c r="AL339" i="2"/>
  <c r="AL340" i="2" a="1"/>
  <c r="AL340" i="2" s="1"/>
  <c r="AL341" i="2" a="1"/>
  <c r="AL341" i="2"/>
  <c r="AL342" i="2" a="1"/>
  <c r="AL342" i="2" s="1"/>
  <c r="AL343" i="2" a="1"/>
  <c r="AL343" i="2" s="1"/>
  <c r="AL344" i="2" a="1"/>
  <c r="AL344" i="2" s="1"/>
  <c r="AL345" i="2" a="1"/>
  <c r="AL345" i="2" s="1"/>
  <c r="AL346" i="2" a="1"/>
  <c r="AL346" i="2" s="1"/>
  <c r="AL347" i="2" a="1"/>
  <c r="AL347" i="2" s="1"/>
  <c r="AL348" i="2" a="1"/>
  <c r="AL348" i="2" s="1"/>
  <c r="AL349" i="2" a="1"/>
  <c r="AL349" i="2" s="1"/>
  <c r="AL350" i="2" a="1"/>
  <c r="AL350" i="2" s="1"/>
  <c r="AL351" i="2" a="1"/>
  <c r="AL351" i="2" s="1"/>
  <c r="AL352" i="2" a="1"/>
  <c r="AL352" i="2" s="1"/>
  <c r="AL353" i="2" a="1"/>
  <c r="AL353" i="2" s="1"/>
  <c r="AL354" i="2" a="1"/>
  <c r="AL354" i="2" s="1"/>
  <c r="AL355" i="2" a="1"/>
  <c r="AL355" i="2" s="1"/>
  <c r="AL356" i="2" a="1"/>
  <c r="AL356" i="2"/>
  <c r="AL357" i="2" a="1"/>
  <c r="AL357" i="2"/>
  <c r="AL358" i="2" a="1"/>
  <c r="AL358" i="2" s="1"/>
  <c r="AL359" i="2" a="1"/>
  <c r="AL359" i="2" s="1"/>
  <c r="AL360" i="2" a="1"/>
  <c r="AL360" i="2" s="1"/>
  <c r="AL361" i="2" a="1"/>
  <c r="AL361" i="2" s="1"/>
  <c r="AL362" i="2" a="1"/>
  <c r="AL362" i="2" s="1"/>
  <c r="AL363" i="2" a="1"/>
  <c r="AL363" i="2" s="1"/>
  <c r="AL364" i="2" a="1"/>
  <c r="AL364" i="2" s="1"/>
  <c r="AL365" i="2" a="1"/>
  <c r="AL365" i="2" s="1"/>
  <c r="AL366" i="2" a="1"/>
  <c r="AL366" i="2" s="1"/>
  <c r="AL367" i="2" a="1"/>
  <c r="AL367" i="2" s="1"/>
  <c r="AL368" i="2" a="1"/>
  <c r="AL368" i="2" s="1"/>
  <c r="AL369" i="2" a="1"/>
  <c r="AL369" i="2" s="1"/>
  <c r="AL370" i="2" a="1"/>
  <c r="AL370" i="2" s="1"/>
  <c r="AL371" i="2" a="1"/>
  <c r="AL371" i="2" s="1"/>
  <c r="AL372" i="2" a="1"/>
  <c r="AL372" i="2" s="1"/>
  <c r="AL373" i="2" a="1"/>
  <c r="AL373" i="2" s="1"/>
  <c r="AL374" i="2" a="1"/>
  <c r="AL374" i="2" s="1"/>
  <c r="AL375" i="2" a="1"/>
  <c r="AL375" i="2" s="1"/>
  <c r="AL376" i="2" a="1"/>
  <c r="AL376" i="2" s="1"/>
  <c r="AL377" i="2" a="1"/>
  <c r="AL377" i="2" s="1"/>
  <c r="AL378" i="2" a="1"/>
  <c r="AL378" i="2" s="1"/>
  <c r="AL379" i="2" a="1"/>
  <c r="AL379" i="2" s="1"/>
  <c r="AL380" i="2" a="1"/>
  <c r="AL380" i="2" s="1"/>
  <c r="AL381" i="2" a="1"/>
  <c r="AL381" i="2" s="1"/>
  <c r="AL382" i="2" a="1"/>
  <c r="AL382" i="2" s="1"/>
  <c r="AL383" i="2" a="1"/>
  <c r="AL383" i="2" s="1"/>
  <c r="AL384" i="2" a="1"/>
  <c r="AL384" i="2" s="1"/>
  <c r="AL385" i="2" a="1"/>
  <c r="AL385" i="2" s="1"/>
  <c r="AL386" i="2" a="1"/>
  <c r="AL386" i="2"/>
  <c r="AL387" i="2" a="1"/>
  <c r="AL387" i="2"/>
  <c r="AL388" i="2" a="1"/>
  <c r="AL388" i="2" s="1"/>
  <c r="AL389" i="2" a="1"/>
  <c r="AL389" i="2" s="1"/>
  <c r="AL390" i="2" a="1"/>
  <c r="AL390" i="2" s="1"/>
  <c r="AL391" i="2" a="1"/>
  <c r="AL391" i="2" s="1"/>
  <c r="AL392" i="2" a="1"/>
  <c r="AL392" i="2" s="1"/>
  <c r="AL393" i="2" a="1"/>
  <c r="AL393" i="2" s="1"/>
  <c r="AL394" i="2" a="1"/>
  <c r="AL394" i="2" s="1"/>
  <c r="AL395" i="2" a="1"/>
  <c r="AL395" i="2" s="1"/>
  <c r="AL396" i="2" a="1"/>
  <c r="AL396" i="2" s="1"/>
  <c r="AL397" i="2" a="1"/>
  <c r="AL397" i="2" s="1"/>
  <c r="AL398" i="2" a="1"/>
  <c r="AL398" i="2" s="1"/>
  <c r="AL399" i="2" a="1"/>
  <c r="AL399" i="2" s="1"/>
  <c r="AL400" i="2" a="1"/>
  <c r="AL400" i="2" s="1"/>
  <c r="AL401" i="2" a="1"/>
  <c r="AL401" i="2" s="1"/>
  <c r="AL402" i="2" a="1"/>
  <c r="AL402" i="2" s="1"/>
  <c r="AL403" i="2" a="1"/>
  <c r="AL403" i="2" s="1"/>
  <c r="AL404" i="2" a="1"/>
  <c r="AL404" i="2"/>
  <c r="AL405" i="2" a="1"/>
  <c r="AL405" i="2"/>
  <c r="AL406" i="2" a="1"/>
  <c r="AL406" i="2" s="1"/>
  <c r="AL407" i="2" a="1"/>
  <c r="AL407" i="2" s="1"/>
  <c r="AL408" i="2" a="1"/>
  <c r="AL408" i="2"/>
  <c r="AL409" i="2" a="1"/>
  <c r="AL409" i="2" s="1"/>
  <c r="AL410" i="2" a="1"/>
  <c r="AL410" i="2"/>
  <c r="AL411" i="2" a="1"/>
  <c r="AL411" i="2" s="1"/>
  <c r="AL412" i="2" a="1"/>
  <c r="AL412" i="2" s="1"/>
  <c r="AL413" i="2" a="1"/>
  <c r="AL413" i="2" s="1"/>
  <c r="AL414" i="2" a="1"/>
  <c r="AL414" i="2" s="1"/>
  <c r="AL415" i="2" a="1"/>
  <c r="AL415" i="2" s="1"/>
  <c r="AL416" i="2" a="1"/>
  <c r="AL416" i="2" s="1"/>
  <c r="AL417" i="2" a="1"/>
  <c r="AL417" i="2" s="1"/>
  <c r="AL418" i="2" a="1"/>
  <c r="AL418" i="2" s="1"/>
  <c r="AL419" i="2" a="1"/>
  <c r="AL419" i="2" s="1"/>
  <c r="AL420" i="2" a="1"/>
  <c r="AL420" i="2" s="1"/>
  <c r="AL421" i="2" a="1"/>
  <c r="AL421" i="2" s="1"/>
  <c r="AL422" i="2" a="1"/>
  <c r="AL422" i="2" s="1"/>
  <c r="AL423" i="2" a="1"/>
  <c r="AL423" i="2" s="1"/>
  <c r="AL424" i="2" a="1"/>
  <c r="AL424" i="2" s="1"/>
  <c r="AL425" i="2" a="1"/>
  <c r="AL425" i="2" s="1"/>
  <c r="AL426" i="2" a="1"/>
  <c r="AL426" i="2" s="1"/>
  <c r="AL427" i="2" a="1"/>
  <c r="AL427" i="2" s="1"/>
  <c r="AL428" i="2" a="1"/>
  <c r="AL428" i="2" s="1"/>
  <c r="AL429" i="2" a="1"/>
  <c r="AL429" i="2" s="1"/>
  <c r="AL430" i="2" a="1"/>
  <c r="AL430" i="2" s="1"/>
  <c r="AL431" i="2" a="1"/>
  <c r="AL431" i="2" s="1"/>
  <c r="AL432" i="2" a="1"/>
  <c r="AL432" i="2" s="1"/>
  <c r="AL433" i="2" a="1"/>
  <c r="AL433" i="2" s="1"/>
  <c r="AL434" i="2" a="1"/>
  <c r="AL434" i="2" s="1"/>
  <c r="AL435" i="2" a="1"/>
  <c r="AL435" i="2" s="1"/>
  <c r="AL436" i="2" a="1"/>
  <c r="AL436" i="2" s="1"/>
  <c r="AL437" i="2" a="1"/>
  <c r="AL437" i="2" s="1"/>
  <c r="AL438" i="2" a="1"/>
  <c r="AL438" i="2" s="1"/>
  <c r="AL439" i="2" a="1"/>
  <c r="AL439" i="2" s="1"/>
  <c r="AL440" i="2" a="1"/>
  <c r="AL440" i="2"/>
  <c r="AL441" i="2" a="1"/>
  <c r="AL441" i="2"/>
  <c r="AL442" i="2" a="1"/>
  <c r="AL442" i="2" s="1"/>
  <c r="AL443" i="2" a="1"/>
  <c r="AL443" i="2" s="1"/>
  <c r="AL444" i="2" a="1"/>
  <c r="AL444" i="2"/>
  <c r="AL445" i="2" a="1"/>
  <c r="AL445" i="2" s="1"/>
  <c r="AL446" i="2" a="1"/>
  <c r="AL446" i="2"/>
  <c r="AL447" i="2" a="1"/>
  <c r="AL447" i="2" s="1"/>
  <c r="AL448" i="2" a="1"/>
  <c r="AL448" i="2" s="1"/>
  <c r="AL449" i="2" a="1"/>
  <c r="AL449" i="2"/>
  <c r="AL450" i="2" a="1"/>
  <c r="AL450" i="2" s="1"/>
  <c r="AL451" i="2" a="1"/>
  <c r="AL451" i="2" s="1"/>
  <c r="AL452" i="2" a="1"/>
  <c r="AL452" i="2"/>
  <c r="AL453" i="2" a="1"/>
  <c r="AL453" i="2" s="1"/>
  <c r="AL454" i="2" a="1"/>
  <c r="AL454" i="2" s="1"/>
  <c r="AL455" i="2" a="1"/>
  <c r="AL455" i="2" s="1"/>
  <c r="AL456" i="2" a="1"/>
  <c r="AL456" i="2" s="1"/>
  <c r="AL457" i="2" a="1"/>
  <c r="AL457" i="2" s="1"/>
  <c r="AL458" i="2" a="1"/>
  <c r="AL458" i="2" s="1"/>
  <c r="AL459" i="2" a="1"/>
  <c r="AL459" i="2" s="1"/>
  <c r="AL460" i="2" a="1"/>
  <c r="AL460" i="2" s="1"/>
  <c r="AL461" i="2" a="1"/>
  <c r="AL461" i="2" s="1"/>
  <c r="AL462" i="2" a="1"/>
  <c r="AL462" i="2" s="1"/>
  <c r="AL463" i="2" a="1"/>
  <c r="AL463" i="2" s="1"/>
  <c r="AL464" i="2" a="1"/>
  <c r="AL464" i="2" s="1"/>
  <c r="AL465" i="2" a="1"/>
  <c r="AL465" i="2" s="1"/>
  <c r="AL466" i="2" a="1"/>
  <c r="AL466" i="2" s="1"/>
  <c r="AL467" i="2" a="1"/>
  <c r="AL467" i="2" s="1"/>
  <c r="AL468" i="2" a="1"/>
  <c r="AL468" i="2" s="1"/>
  <c r="AL469" i="2" a="1"/>
  <c r="AL469" i="2" s="1"/>
  <c r="AL470" i="2" a="1"/>
  <c r="AL470" i="2" s="1"/>
  <c r="AL471" i="2" a="1"/>
  <c r="AL471" i="2" s="1"/>
  <c r="AL472" i="2" a="1"/>
  <c r="AL472" i="2" s="1"/>
  <c r="AL473" i="2" a="1"/>
  <c r="AL473" i="2" s="1"/>
  <c r="AL474" i="2" a="1"/>
  <c r="AL474" i="2" s="1"/>
  <c r="AL475" i="2" a="1"/>
  <c r="AL475" i="2" s="1"/>
  <c r="AL476" i="2" a="1"/>
  <c r="AL476" i="2"/>
  <c r="AL477" i="2" a="1"/>
  <c r="AL477" i="2"/>
  <c r="AL478" i="2" a="1"/>
  <c r="AL478" i="2" s="1"/>
  <c r="AL479" i="2" a="1"/>
  <c r="AL479" i="2" s="1"/>
  <c r="AL480" i="2" a="1"/>
  <c r="AL480" i="2" s="1"/>
  <c r="AL481" i="2" a="1"/>
  <c r="AL481" i="2" s="1"/>
  <c r="AL482" i="2" a="1"/>
  <c r="AL482" i="2"/>
  <c r="AL483" i="2" a="1"/>
  <c r="AL483" i="2" s="1"/>
  <c r="AL484" i="2" a="1"/>
  <c r="AL484" i="2" s="1"/>
  <c r="AL485" i="2" a="1"/>
  <c r="AL485" i="2" s="1"/>
  <c r="AL486" i="2" a="1"/>
  <c r="AL486" i="2" s="1"/>
  <c r="AL487" i="2" a="1"/>
  <c r="AL487" i="2" s="1"/>
  <c r="AL488" i="2" a="1"/>
  <c r="AL488" i="2" s="1"/>
  <c r="AL489" i="2" a="1"/>
  <c r="AL489" i="2" s="1"/>
  <c r="AL490" i="2" a="1"/>
  <c r="AL490" i="2" s="1"/>
  <c r="AL491" i="2" a="1"/>
  <c r="AL491" i="2" s="1"/>
  <c r="AL492" i="2" a="1"/>
  <c r="AL492" i="2" s="1"/>
  <c r="AL493" i="2" a="1"/>
  <c r="AL493" i="2" s="1"/>
  <c r="AL494" i="2" a="1"/>
  <c r="AL494" i="2" s="1"/>
  <c r="AL495" i="2" a="1"/>
  <c r="AL495" i="2" s="1"/>
  <c r="AL496" i="2" a="1"/>
  <c r="AL496" i="2" s="1"/>
  <c r="AL497" i="2" a="1"/>
  <c r="AL497" i="2" s="1"/>
  <c r="AL498" i="2" a="1"/>
  <c r="AL498" i="2" s="1"/>
  <c r="AL499" i="2" a="1"/>
  <c r="AL499" i="2" s="1"/>
  <c r="AL500" i="2" a="1"/>
  <c r="AL500" i="2" s="1"/>
  <c r="AL501" i="2" a="1"/>
  <c r="AL501" i="2" s="1"/>
  <c r="AL502" i="2" a="1"/>
  <c r="AL502" i="2" s="1"/>
  <c r="AL503" i="2" a="1"/>
  <c r="AL503" i="2" s="1"/>
  <c r="AL504" i="2" a="1"/>
  <c r="AL504" i="2" s="1"/>
  <c r="AL505" i="2" a="1"/>
  <c r="AL505" i="2" s="1"/>
  <c r="AL506" i="2" a="1"/>
  <c r="AL506" i="2" s="1"/>
  <c r="AL507" i="2" a="1"/>
  <c r="AL507" i="2" s="1"/>
  <c r="AL508" i="2" a="1"/>
  <c r="AL508" i="2" s="1"/>
  <c r="AL509" i="2" a="1"/>
  <c r="AL509" i="2" s="1"/>
  <c r="AL510" i="2" a="1"/>
  <c r="AL510" i="2" s="1"/>
  <c r="AL511" i="2" a="1"/>
  <c r="AL511" i="2" s="1"/>
  <c r="AL512" i="2" a="1"/>
  <c r="AL512" i="2"/>
  <c r="AL513" i="2" a="1"/>
  <c r="AL513" i="2"/>
  <c r="AL514" i="2" a="1"/>
  <c r="AL514" i="2" s="1"/>
  <c r="AL515" i="2" a="1"/>
  <c r="AL515" i="2" s="1"/>
  <c r="AL516" i="2" a="1"/>
  <c r="AL516" i="2" s="1"/>
  <c r="AL517" i="2" a="1"/>
  <c r="AL517" i="2"/>
  <c r="AL518" i="2" a="1"/>
  <c r="AL518" i="2" s="1"/>
  <c r="AL519" i="2" a="1"/>
  <c r="AL519" i="2" s="1"/>
  <c r="AL520" i="2" a="1"/>
  <c r="AL520" i="2" s="1"/>
  <c r="AL521" i="2" a="1"/>
  <c r="AL521" i="2" s="1"/>
  <c r="AL522" i="2" a="1"/>
  <c r="AL522" i="2"/>
  <c r="AL523" i="2" a="1"/>
  <c r="AL523" i="2" s="1"/>
  <c r="AL524" i="2" a="1"/>
  <c r="AL524" i="2" s="1"/>
  <c r="AL525" i="2" a="1"/>
  <c r="AL525" i="2"/>
  <c r="AL526" i="2" a="1"/>
  <c r="AL526" i="2" s="1"/>
  <c r="AL527" i="2" a="1"/>
  <c r="AL527" i="2" s="1"/>
  <c r="AL528" i="2" a="1"/>
  <c r="AL528" i="2" s="1"/>
  <c r="AL529" i="2" a="1"/>
  <c r="AL529" i="2" s="1"/>
  <c r="AL530" i="2" a="1"/>
  <c r="AL530" i="2" s="1"/>
  <c r="AL531" i="2" a="1"/>
  <c r="AL531" i="2" s="1"/>
  <c r="AL532" i="2" a="1"/>
  <c r="AL532" i="2" s="1"/>
  <c r="AL533" i="2" a="1"/>
  <c r="AL533" i="2" s="1"/>
  <c r="AL534" i="2" a="1"/>
  <c r="AL534" i="2"/>
  <c r="AL535" i="2" a="1"/>
  <c r="AL535" i="2" s="1"/>
  <c r="AL536" i="2" a="1"/>
  <c r="AL536" i="2" s="1"/>
  <c r="AL537" i="2" a="1"/>
  <c r="AL537" i="2" s="1"/>
  <c r="AL538" i="2" a="1"/>
  <c r="AL538" i="2" s="1"/>
  <c r="AL539" i="2" a="1"/>
  <c r="AL539" i="2" s="1"/>
  <c r="AL540" i="2" a="1"/>
  <c r="AL540" i="2"/>
  <c r="AL541" i="2" a="1"/>
  <c r="AL541" i="2" s="1"/>
  <c r="AL542" i="2" a="1"/>
  <c r="AL542" i="2"/>
  <c r="AL543" i="2" a="1"/>
  <c r="AL543" i="2" s="1"/>
  <c r="AL544" i="2" a="1"/>
  <c r="AL544" i="2" s="1"/>
  <c r="AL545" i="2" a="1"/>
  <c r="AL545" i="2" s="1"/>
  <c r="AL546" i="2" a="1"/>
  <c r="AL546" i="2" s="1"/>
  <c r="AL547" i="2" a="1"/>
  <c r="AL547" i="2" s="1"/>
  <c r="AL548" i="2" a="1"/>
  <c r="AL548" i="2" s="1"/>
  <c r="AL549" i="2" a="1"/>
  <c r="AL549" i="2" s="1"/>
  <c r="AL550" i="2" a="1"/>
  <c r="AL550" i="2" s="1"/>
  <c r="AL551" i="2" a="1"/>
  <c r="AL551" i="2" s="1"/>
  <c r="AL552" i="2" a="1"/>
  <c r="AL552" i="2" s="1"/>
  <c r="AL553" i="2" a="1"/>
  <c r="AL553" i="2" s="1"/>
  <c r="AL554" i="2" a="1"/>
  <c r="AL554" i="2" s="1"/>
  <c r="AL555" i="2" a="1"/>
  <c r="AL555" i="2" s="1"/>
  <c r="AL556" i="2" a="1"/>
  <c r="AL556" i="2" s="1"/>
  <c r="AL557" i="2" a="1"/>
  <c r="AL557" i="2" s="1"/>
  <c r="AL558" i="2" a="1"/>
  <c r="AL558" i="2"/>
  <c r="AL559" i="2" a="1"/>
  <c r="AL559" i="2" s="1"/>
  <c r="AL560" i="2" a="1"/>
  <c r="AL560" i="2" s="1"/>
  <c r="AL561" i="2" a="1"/>
  <c r="AL561" i="2" s="1"/>
  <c r="AL562" i="2" a="1"/>
  <c r="AL562" i="2" s="1"/>
  <c r="AL563" i="2" a="1"/>
  <c r="AL563" i="2" s="1"/>
  <c r="AL564" i="2" a="1"/>
  <c r="AL564" i="2" s="1"/>
  <c r="AL565" i="2" a="1"/>
  <c r="AL565" i="2" s="1"/>
  <c r="AL566" i="2" a="1"/>
  <c r="AL566" i="2"/>
  <c r="AL567" i="2" a="1"/>
  <c r="AL567" i="2" s="1"/>
  <c r="AL568" i="2" a="1"/>
  <c r="AL568" i="2" s="1"/>
  <c r="AL569" i="2" a="1"/>
  <c r="AL569" i="2" s="1"/>
  <c r="AL570" i="2" a="1"/>
  <c r="AL570" i="2" s="1"/>
  <c r="AL571" i="2" a="1"/>
  <c r="AL571" i="2" s="1"/>
  <c r="AL572" i="2" a="1"/>
  <c r="AL572" i="2" s="1"/>
  <c r="AL573" i="2" a="1"/>
  <c r="AL573" i="2" s="1"/>
  <c r="AL574" i="2" a="1"/>
  <c r="AL574" i="2" s="1"/>
  <c r="AL575" i="2" a="1"/>
  <c r="AL575" i="2" s="1"/>
  <c r="AL576" i="2" a="1"/>
  <c r="AL576" i="2" s="1"/>
  <c r="AL577" i="2" a="1"/>
  <c r="AL577" i="2" s="1"/>
  <c r="AL578" i="2" a="1"/>
  <c r="AL578" i="2" s="1"/>
  <c r="AL579" i="2" a="1"/>
  <c r="AL579" i="2" s="1"/>
  <c r="AL580" i="2" a="1"/>
  <c r="AL580" i="2" s="1"/>
  <c r="AL581" i="2" a="1"/>
  <c r="AL581" i="2" s="1"/>
  <c r="AL582" i="2" a="1"/>
  <c r="AL582" i="2" s="1"/>
  <c r="AL583" i="2" a="1"/>
  <c r="AL583" i="2" s="1"/>
  <c r="AL584" i="2" a="1"/>
  <c r="AL584" i="2" s="1"/>
  <c r="AL585" i="2" a="1"/>
  <c r="AL585" i="2" s="1"/>
  <c r="AL586" i="2" a="1"/>
  <c r="AL586" i="2" s="1"/>
  <c r="AL587" i="2" a="1"/>
  <c r="AL587" i="2" s="1"/>
  <c r="AL588" i="2" a="1"/>
  <c r="AL588" i="2" s="1"/>
  <c r="AL589" i="2" a="1"/>
  <c r="AL589" i="2" s="1"/>
  <c r="AL590" i="2" a="1"/>
  <c r="AL590" i="2" s="1"/>
  <c r="AL591" i="2" a="1"/>
  <c r="AL591" i="2" s="1"/>
  <c r="AL592" i="2" a="1"/>
  <c r="AL592" i="2" s="1"/>
  <c r="AL593" i="2" a="1"/>
  <c r="AL593" i="2" s="1"/>
  <c r="AL594" i="2" a="1"/>
  <c r="AL594" i="2" s="1"/>
  <c r="AL595" i="2" a="1"/>
  <c r="AL595" i="2" s="1"/>
  <c r="AL596" i="2" a="1"/>
  <c r="AL596" i="2"/>
  <c r="AL597" i="2" a="1"/>
  <c r="AL597" i="2" s="1"/>
  <c r="AL598" i="2" a="1"/>
  <c r="AL598" i="2" s="1"/>
  <c r="AL599" i="2" a="1"/>
  <c r="AL599" i="2" s="1"/>
  <c r="AL600" i="2" a="1"/>
  <c r="AL600" i="2" s="1"/>
  <c r="AL601" i="2" a="1"/>
  <c r="AL601" i="2" s="1"/>
  <c r="AL602" i="2" a="1"/>
  <c r="AL602" i="2" s="1"/>
  <c r="AL603" i="2" a="1"/>
  <c r="AL603" i="2" s="1"/>
  <c r="AL604" i="2" a="1"/>
  <c r="AL604" i="2" s="1"/>
  <c r="AL605" i="2" a="1"/>
  <c r="AL605" i="2" s="1"/>
  <c r="AL606" i="2" a="1"/>
  <c r="AL606" i="2" s="1"/>
  <c r="AL607" i="2" a="1"/>
  <c r="AL607" i="2" s="1"/>
  <c r="AL608" i="2" a="1"/>
  <c r="AL608" i="2" s="1"/>
  <c r="AL609" i="2" a="1"/>
  <c r="AL609" i="2" s="1"/>
  <c r="AL610" i="2" a="1"/>
  <c r="AL610" i="2" s="1"/>
  <c r="AL611" i="2" a="1"/>
  <c r="AL611" i="2" s="1"/>
  <c r="AL612" i="2" a="1"/>
  <c r="AL612" i="2" s="1"/>
  <c r="AL613" i="2" a="1"/>
  <c r="AL613" i="2" s="1"/>
  <c r="AL614" i="2" a="1"/>
  <c r="AL614" i="2" s="1"/>
  <c r="AL615" i="2" a="1"/>
  <c r="AL615" i="2" s="1"/>
  <c r="AL616" i="2" a="1"/>
  <c r="AL616" i="2" s="1"/>
  <c r="AL617" i="2" a="1"/>
  <c r="AL617" i="2" s="1"/>
  <c r="AL618" i="2" a="1"/>
  <c r="AL618" i="2" s="1"/>
  <c r="AL619" i="2" a="1"/>
  <c r="AL619" i="2" s="1"/>
  <c r="AL620" i="2" a="1"/>
  <c r="AL620" i="2" s="1"/>
  <c r="AL621" i="2" a="1"/>
  <c r="AL621" i="2" s="1"/>
  <c r="AL622" i="2" a="1"/>
  <c r="AL622" i="2" s="1"/>
  <c r="AL623" i="2" a="1"/>
  <c r="AL623" i="2" s="1"/>
  <c r="AL624" i="2" a="1"/>
  <c r="AL624" i="2" s="1"/>
  <c r="AL625" i="2" a="1"/>
  <c r="AL625" i="2" s="1"/>
  <c r="AL626" i="2" a="1"/>
  <c r="AL626" i="2" s="1"/>
  <c r="AL627" i="2" a="1"/>
  <c r="AL627" i="2" s="1"/>
  <c r="AL628" i="2" a="1"/>
  <c r="AL628" i="2" s="1"/>
  <c r="AL629" i="2" a="1"/>
  <c r="AL629" i="2" s="1"/>
  <c r="AL630" i="2" a="1"/>
  <c r="AL630" i="2" s="1"/>
  <c r="AL631" i="2" a="1"/>
  <c r="AL631" i="2" s="1"/>
  <c r="AL632" i="2" a="1"/>
  <c r="AL632" i="2"/>
  <c r="AL633" i="2" a="1"/>
  <c r="AL633" i="2" s="1"/>
  <c r="AL634" i="2" a="1"/>
  <c r="AL634" i="2" s="1"/>
  <c r="AL635" i="2" a="1"/>
  <c r="AL635" i="2" s="1"/>
  <c r="AL636" i="2" a="1"/>
  <c r="AL636" i="2" s="1"/>
  <c r="AL637" i="2" a="1"/>
  <c r="AL637" i="2" s="1"/>
  <c r="AL638" i="2" a="1"/>
  <c r="AL638" i="2" s="1"/>
  <c r="AL639" i="2" a="1"/>
  <c r="AL639" i="2" s="1"/>
  <c r="AL640" i="2" a="1"/>
  <c r="AL640" i="2" s="1"/>
  <c r="AL641" i="2" a="1"/>
  <c r="AL641" i="2" s="1"/>
  <c r="AL642" i="2" a="1"/>
  <c r="AL642" i="2" s="1"/>
  <c r="AL643" i="2" a="1"/>
  <c r="AL643" i="2" s="1"/>
  <c r="AL644" i="2" a="1"/>
  <c r="AL644" i="2"/>
  <c r="AL645" i="2" a="1"/>
  <c r="AL645" i="2" s="1"/>
  <c r="AL646" i="2" a="1"/>
  <c r="AL646" i="2" s="1"/>
  <c r="AL647" i="2" a="1"/>
  <c r="AL647" i="2" s="1"/>
  <c r="AL648" i="2" a="1"/>
  <c r="AL648" i="2" s="1"/>
  <c r="AL649" i="2" a="1"/>
  <c r="AL649" i="2" s="1"/>
  <c r="AL650" i="2" a="1"/>
  <c r="AL650" i="2"/>
  <c r="AL651" i="2" a="1"/>
  <c r="AL651" i="2" s="1"/>
  <c r="AL652" i="2" a="1"/>
  <c r="AL652" i="2" s="1"/>
  <c r="AL653" i="2" a="1"/>
  <c r="AL653" i="2" s="1"/>
  <c r="AL654" i="2" a="1"/>
  <c r="AL654" i="2" s="1"/>
  <c r="AL655" i="2" a="1"/>
  <c r="AL655" i="2" s="1"/>
  <c r="AL656" i="2" a="1"/>
  <c r="AL656" i="2" s="1"/>
  <c r="AL657" i="2" a="1"/>
  <c r="AL657" i="2" s="1"/>
  <c r="AL658" i="2" a="1"/>
  <c r="AL658" i="2" s="1"/>
  <c r="AL659" i="2" a="1"/>
  <c r="AL659" i="2" s="1"/>
  <c r="AL660" i="2" a="1"/>
  <c r="AL660" i="2" s="1"/>
  <c r="AL661" i="2" a="1"/>
  <c r="AL661" i="2" s="1"/>
  <c r="AL662" i="2" a="1"/>
  <c r="AL662" i="2" s="1"/>
  <c r="AL663" i="2" a="1"/>
  <c r="AL663" i="2" s="1"/>
  <c r="AL664" i="2" a="1"/>
  <c r="AL664" i="2" s="1"/>
  <c r="AL665" i="2" a="1"/>
  <c r="AL665" i="2" s="1"/>
  <c r="AL666" i="2" a="1"/>
  <c r="AL666" i="2" s="1"/>
  <c r="AL667" i="2" a="1"/>
  <c r="AL667" i="2" s="1"/>
  <c r="AL668" i="2" a="1"/>
  <c r="AL668" i="2" s="1"/>
  <c r="AL669" i="2" a="1"/>
  <c r="AL669" i="2" s="1"/>
  <c r="AL670" i="2" a="1"/>
  <c r="AL670" i="2" s="1"/>
  <c r="AL671" i="2" a="1"/>
  <c r="AL671" i="2" s="1"/>
  <c r="AL672" i="2" a="1"/>
  <c r="AL672" i="2" s="1"/>
  <c r="AL673" i="2" a="1"/>
  <c r="AL673" i="2" s="1"/>
  <c r="AL674" i="2" a="1"/>
  <c r="AL674" i="2" s="1"/>
  <c r="AL675" i="2" a="1"/>
  <c r="AL675" i="2" s="1"/>
  <c r="AL676" i="2" a="1"/>
  <c r="AL676" i="2" s="1"/>
  <c r="AL677" i="2" a="1"/>
  <c r="AL677" i="2" s="1"/>
  <c r="AL678" i="2" a="1"/>
  <c r="AL678" i="2" s="1"/>
  <c r="AL679" i="2" a="1"/>
  <c r="AL679" i="2" s="1"/>
  <c r="AL680" i="2" a="1"/>
  <c r="AL680" i="2"/>
  <c r="AL681" i="2" a="1"/>
  <c r="AL681" i="2" s="1"/>
  <c r="AL682" i="2" a="1"/>
  <c r="AL682" i="2" s="1"/>
  <c r="AL683" i="2" a="1"/>
  <c r="AL683" i="2" s="1"/>
  <c r="AL684" i="2" a="1"/>
  <c r="AL684" i="2" s="1"/>
  <c r="AL685" i="2" a="1"/>
  <c r="AL685" i="2" s="1"/>
  <c r="AL686" i="2" a="1"/>
  <c r="AL686" i="2" s="1"/>
  <c r="AL687" i="2" a="1"/>
  <c r="AL687" i="2" s="1"/>
  <c r="AL688" i="2" a="1"/>
  <c r="AL688" i="2" s="1"/>
  <c r="AL689" i="2" a="1"/>
  <c r="AL689" i="2" s="1"/>
  <c r="AL690" i="2" a="1"/>
  <c r="AL690" i="2" s="1"/>
  <c r="AL691" i="2" a="1"/>
  <c r="AL691" i="2" s="1"/>
  <c r="AL692" i="2" a="1"/>
  <c r="AL692" i="2" s="1"/>
  <c r="AL693" i="2" a="1"/>
  <c r="AL693" i="2" s="1"/>
  <c r="AL694" i="2" a="1"/>
  <c r="AL694" i="2" s="1"/>
  <c r="AL695" i="2" a="1"/>
  <c r="AL695" i="2" s="1"/>
  <c r="AL696" i="2" a="1"/>
  <c r="AL696" i="2" s="1"/>
  <c r="AL697" i="2" a="1"/>
  <c r="AL697" i="2" s="1"/>
  <c r="AL698" i="2" a="1"/>
  <c r="AL698" i="2" s="1"/>
  <c r="AL699" i="2" a="1"/>
  <c r="AL699" i="2" s="1"/>
  <c r="AL700" i="2" a="1"/>
  <c r="AL700" i="2" s="1"/>
  <c r="AL701" i="2" a="1"/>
  <c r="AL701" i="2" s="1"/>
  <c r="AL702" i="2" a="1"/>
  <c r="AL702" i="2" s="1"/>
  <c r="AL703" i="2" a="1"/>
  <c r="AL703" i="2" s="1"/>
  <c r="AL704" i="2" a="1"/>
  <c r="AL704" i="2" s="1"/>
  <c r="AL705" i="2" a="1"/>
  <c r="AL705" i="2" s="1"/>
  <c r="AL706" i="2" a="1"/>
  <c r="AL706" i="2" s="1"/>
  <c r="AL707" i="2" a="1"/>
  <c r="AL707" i="2" s="1"/>
  <c r="AL708" i="2" a="1"/>
  <c r="AL708" i="2" s="1"/>
  <c r="AL709" i="2" a="1"/>
  <c r="AL709" i="2" s="1"/>
  <c r="AL710" i="2" a="1"/>
  <c r="AL710" i="2" s="1"/>
  <c r="AL711" i="2" a="1"/>
  <c r="AL711" i="2" s="1"/>
  <c r="AL712" i="2" a="1"/>
  <c r="AL712" i="2" s="1"/>
  <c r="AL713" i="2" a="1"/>
  <c r="AL713" i="2" s="1"/>
  <c r="AL714" i="2" a="1"/>
  <c r="AL714" i="2" s="1"/>
  <c r="AL715" i="2" a="1"/>
  <c r="AL715" i="2" s="1"/>
  <c r="AL716" i="2" a="1"/>
  <c r="AL716" i="2" s="1"/>
  <c r="AL717" i="2" a="1"/>
  <c r="AL717" i="2" s="1"/>
  <c r="AL718" i="2" a="1"/>
  <c r="AL718" i="2" s="1"/>
  <c r="AL719" i="2" a="1"/>
  <c r="AL719" i="2" s="1"/>
  <c r="AL720" i="2" a="1"/>
  <c r="AL720" i="2" s="1"/>
  <c r="AL721" i="2" a="1"/>
  <c r="AL721" i="2" s="1"/>
  <c r="AL722" i="2" a="1"/>
  <c r="AL722" i="2"/>
  <c r="AL723" i="2" a="1"/>
  <c r="AL723" i="2" s="1"/>
  <c r="AL724" i="2" a="1"/>
  <c r="AL724" i="2" s="1"/>
  <c r="AL725" i="2" a="1"/>
  <c r="AL725" i="2" s="1"/>
  <c r="AL726" i="2" a="1"/>
  <c r="AL726" i="2" s="1"/>
  <c r="AL727" i="2" a="1"/>
  <c r="AL727" i="2" s="1"/>
  <c r="AL728" i="2" a="1"/>
  <c r="AL728" i="2" s="1"/>
  <c r="AL729" i="2" a="1"/>
  <c r="AL729" i="2" s="1"/>
  <c r="AL730" i="2" a="1"/>
  <c r="AL730" i="2" s="1"/>
  <c r="AL731" i="2" a="1"/>
  <c r="AL731" i="2" s="1"/>
  <c r="AL732" i="2" a="1"/>
  <c r="AL732" i="2" s="1"/>
  <c r="AL733" i="2" a="1"/>
  <c r="AL733" i="2" s="1"/>
  <c r="AL734" i="2" a="1"/>
  <c r="AL734" i="2" s="1"/>
  <c r="AL735" i="2" a="1"/>
  <c r="AL735" i="2" s="1"/>
  <c r="AL736" i="2" a="1"/>
  <c r="AL736" i="2" s="1"/>
  <c r="AL737" i="2" a="1"/>
  <c r="AL737" i="2" s="1"/>
  <c r="AL738" i="2" a="1"/>
  <c r="AL738" i="2" s="1"/>
  <c r="AL739" i="2" a="1"/>
  <c r="AL739" i="2" s="1"/>
  <c r="AL740" i="2" a="1"/>
  <c r="AL740" i="2"/>
  <c r="AL741" i="2" a="1"/>
  <c r="AL741" i="2" s="1"/>
  <c r="AL742" i="2" a="1"/>
  <c r="AL742" i="2" s="1"/>
  <c r="AL743" i="2" a="1"/>
  <c r="AL743" i="2" s="1"/>
  <c r="AL744" i="2" a="1"/>
  <c r="AL744" i="2" s="1"/>
  <c r="AL745" i="2" a="1"/>
  <c r="AL745" i="2" s="1"/>
  <c r="AL746" i="2" a="1"/>
  <c r="AL746" i="2" s="1"/>
  <c r="AL747" i="2" a="1"/>
  <c r="AL747" i="2" s="1"/>
  <c r="AL748" i="2" a="1"/>
  <c r="AL748" i="2" s="1"/>
  <c r="AL749" i="2" a="1"/>
  <c r="AL749" i="2" s="1"/>
  <c r="AL750" i="2" a="1"/>
  <c r="AL750" i="2" s="1"/>
  <c r="AL751" i="2" a="1"/>
  <c r="AL751" i="2" s="1"/>
  <c r="AL752" i="2" a="1"/>
  <c r="AL752" i="2" s="1"/>
  <c r="AL753" i="2" a="1"/>
  <c r="AL753" i="2" s="1"/>
  <c r="AL754" i="2" a="1"/>
  <c r="AL754" i="2" s="1"/>
  <c r="AL755" i="2" a="1"/>
  <c r="AL755" i="2" s="1"/>
  <c r="AL756" i="2" a="1"/>
  <c r="AL756" i="2" s="1"/>
  <c r="AL757" i="2" a="1"/>
  <c r="AL757" i="2" s="1"/>
  <c r="AL758" i="2" a="1"/>
  <c r="AL758" i="2"/>
  <c r="AL759" i="2" a="1"/>
  <c r="AL759" i="2" s="1"/>
  <c r="AL760" i="2" a="1"/>
  <c r="AL760" i="2" s="1"/>
  <c r="AL761" i="2" a="1"/>
  <c r="AL761" i="2" s="1"/>
  <c r="AL762" i="2" a="1"/>
  <c r="AL762" i="2" s="1"/>
  <c r="AL763" i="2" a="1"/>
  <c r="AL763" i="2" s="1"/>
  <c r="AL764" i="2" a="1"/>
  <c r="AL764" i="2" s="1"/>
  <c r="AL765" i="2" a="1"/>
  <c r="AL765" i="2" s="1"/>
  <c r="AL766" i="2" a="1"/>
  <c r="AL766" i="2" s="1"/>
  <c r="AL767" i="2" a="1"/>
  <c r="AL767" i="2" s="1"/>
  <c r="AL768" i="2" a="1"/>
  <c r="AL768" i="2" s="1"/>
  <c r="AL769" i="2" a="1"/>
  <c r="AL769" i="2" s="1"/>
  <c r="AL770" i="2" a="1"/>
  <c r="AL770" i="2" s="1"/>
  <c r="AL771" i="2" a="1"/>
  <c r="AL771" i="2" s="1"/>
  <c r="AL772" i="2" a="1"/>
  <c r="AL772" i="2" s="1"/>
  <c r="AL773" i="2" a="1"/>
  <c r="AL773" i="2" s="1"/>
  <c r="AL774" i="2" a="1"/>
  <c r="AL774" i="2" s="1"/>
  <c r="AL775" i="2" a="1"/>
  <c r="AL775" i="2" s="1"/>
  <c r="AL776" i="2" a="1"/>
  <c r="AL776" i="2" s="1"/>
  <c r="AL777" i="2" a="1"/>
  <c r="AL777" i="2" s="1"/>
  <c r="AL778" i="2" a="1"/>
  <c r="AL778" i="2" s="1"/>
  <c r="AL779" i="2" a="1"/>
  <c r="AL779" i="2" s="1"/>
  <c r="AL780" i="2" a="1"/>
  <c r="AL780" i="2" s="1"/>
  <c r="AL781" i="2" a="1"/>
  <c r="AL781" i="2" s="1"/>
  <c r="AL782" i="2" a="1"/>
  <c r="AL782" i="2" s="1"/>
  <c r="AL783" i="2" a="1"/>
  <c r="AL783" i="2" s="1"/>
  <c r="AL784" i="2" a="1"/>
  <c r="AL784" i="2" s="1"/>
  <c r="AL785" i="2" a="1"/>
  <c r="AL785" i="2" s="1"/>
  <c r="AL786" i="2" a="1"/>
  <c r="AL786" i="2" s="1"/>
  <c r="AL787" i="2" a="1"/>
  <c r="AL787" i="2" s="1"/>
  <c r="AL788" i="2" a="1"/>
  <c r="AL788" i="2" s="1"/>
  <c r="AL789" i="2" a="1"/>
  <c r="AL789" i="2" s="1"/>
  <c r="AL790" i="2" a="1"/>
  <c r="AL790" i="2" s="1"/>
  <c r="AL791" i="2" a="1"/>
  <c r="AL791" i="2" s="1"/>
  <c r="AL792" i="2" a="1"/>
  <c r="AL792" i="2" s="1"/>
  <c r="AL793" i="2" a="1"/>
  <c r="AL793" i="2" s="1"/>
  <c r="AL794" i="2" a="1"/>
  <c r="AL794" i="2" s="1"/>
  <c r="AL795" i="2" a="1"/>
  <c r="AL795" i="2" s="1"/>
  <c r="AL796" i="2" a="1"/>
  <c r="AL796" i="2" s="1"/>
  <c r="AL797" i="2" a="1"/>
  <c r="AL797" i="2" s="1"/>
  <c r="AL798" i="2" a="1"/>
  <c r="AL798" i="2" s="1"/>
  <c r="AL799" i="2" a="1"/>
  <c r="AL799" i="2" s="1"/>
  <c r="AL800" i="2" a="1"/>
  <c r="AL800" i="2" s="1"/>
  <c r="AL801" i="2" a="1"/>
  <c r="AL801" i="2" s="1"/>
  <c r="AL802" i="2" a="1"/>
  <c r="AL802" i="2" s="1"/>
  <c r="AL803" i="2" a="1"/>
  <c r="AL803" i="2" s="1"/>
  <c r="AL804" i="2" a="1"/>
  <c r="AL804" i="2" s="1"/>
  <c r="AL805" i="2" a="1"/>
  <c r="AL805" i="2" s="1"/>
  <c r="AL806" i="2" a="1"/>
  <c r="AL806" i="2" s="1"/>
  <c r="AL807" i="2" a="1"/>
  <c r="AL807" i="2" s="1"/>
  <c r="AL808" i="2" a="1"/>
  <c r="AL808" i="2" s="1"/>
  <c r="AL809" i="2" a="1"/>
  <c r="AL809" i="2" s="1"/>
  <c r="AL810" i="2" a="1"/>
  <c r="AL810" i="2" s="1"/>
  <c r="AL811" i="2" a="1"/>
  <c r="AL811" i="2" s="1"/>
  <c r="AL812" i="2" a="1"/>
  <c r="AL812" i="2" s="1"/>
  <c r="AL813" i="2" a="1"/>
  <c r="AL813" i="2" s="1"/>
  <c r="AL814" i="2" a="1"/>
  <c r="AL814" i="2" s="1"/>
  <c r="AL815" i="2" a="1"/>
  <c r="AL815" i="2" s="1"/>
  <c r="AL816" i="2" a="1"/>
  <c r="AL816" i="2" s="1"/>
  <c r="AL817" i="2" a="1"/>
  <c r="AL817" i="2" s="1"/>
  <c r="AL818" i="2" a="1"/>
  <c r="AL818" i="2"/>
  <c r="AL819" i="2" a="1"/>
  <c r="AL819" i="2" s="1"/>
  <c r="AL820" i="2" a="1"/>
  <c r="AL820" i="2" s="1"/>
  <c r="AL821" i="2" a="1"/>
  <c r="AL821" i="2" s="1"/>
  <c r="AL822" i="2" a="1"/>
  <c r="AL822" i="2" s="1"/>
  <c r="AL823" i="2" a="1"/>
  <c r="AL823" i="2" s="1"/>
  <c r="AL824" i="2" a="1"/>
  <c r="AL824" i="2" s="1"/>
  <c r="AL825" i="2" a="1"/>
  <c r="AL825" i="2" s="1"/>
  <c r="AL826" i="2" a="1"/>
  <c r="AL826" i="2" s="1"/>
  <c r="AL827" i="2" a="1"/>
  <c r="AL827" i="2" s="1"/>
  <c r="AL828" i="2" a="1"/>
  <c r="AL828" i="2" s="1"/>
  <c r="AL829" i="2" a="1"/>
  <c r="AL829" i="2" s="1"/>
  <c r="AL830" i="2" a="1"/>
  <c r="AL830" i="2" s="1"/>
  <c r="AL831" i="2" a="1"/>
  <c r="AL831" i="2" s="1"/>
  <c r="AL832" i="2" a="1"/>
  <c r="AL832" i="2" s="1"/>
  <c r="AL833" i="2" a="1"/>
  <c r="AL833" i="2" s="1"/>
  <c r="AL834" i="2" a="1"/>
  <c r="AL834" i="2" s="1"/>
  <c r="AL835" i="2" a="1"/>
  <c r="AL835" i="2" s="1"/>
  <c r="AL836" i="2" a="1"/>
  <c r="AL836" i="2"/>
  <c r="AL837" i="2" a="1"/>
  <c r="AL837" i="2" s="1"/>
  <c r="AL838" i="2" a="1"/>
  <c r="AL838" i="2" s="1"/>
  <c r="AL839" i="2" a="1"/>
  <c r="AL839" i="2" s="1"/>
  <c r="AL840" i="2" a="1"/>
  <c r="AL840" i="2" s="1"/>
  <c r="AL841" i="2" a="1"/>
  <c r="AL841" i="2"/>
  <c r="AL842" i="2" a="1"/>
  <c r="AL842" i="2" s="1"/>
  <c r="AL843" i="2" a="1"/>
  <c r="AL843" i="2" s="1"/>
  <c r="AL844" i="2" a="1"/>
  <c r="AL844" i="2" s="1"/>
  <c r="AL845" i="2" a="1"/>
  <c r="AL845" i="2" s="1"/>
  <c r="AL846" i="2" a="1"/>
  <c r="AL846" i="2" s="1"/>
  <c r="AL847" i="2" a="1"/>
  <c r="AL847" i="2" s="1"/>
  <c r="AL848" i="2" a="1"/>
  <c r="AL848" i="2" s="1"/>
  <c r="AL849" i="2" a="1"/>
  <c r="AL849" i="2" s="1"/>
  <c r="AL850" i="2" a="1"/>
  <c r="AL850" i="2" s="1"/>
  <c r="AL851" i="2" a="1"/>
  <c r="AL851" i="2" s="1"/>
  <c r="AL852" i="2" a="1"/>
  <c r="AL852" i="2" s="1"/>
  <c r="AL853" i="2" a="1"/>
  <c r="AL853" i="2" s="1"/>
  <c r="AL854" i="2" a="1"/>
  <c r="AL854" i="2" s="1"/>
  <c r="AL855" i="2" a="1"/>
  <c r="AL855" i="2" s="1"/>
  <c r="AL856" i="2" a="1"/>
  <c r="AL856" i="2" s="1"/>
  <c r="AL857" i="2" a="1"/>
  <c r="AL857" i="2" s="1"/>
  <c r="AL858" i="2" a="1"/>
  <c r="AL858" i="2" s="1"/>
  <c r="AL859" i="2" a="1"/>
  <c r="AL859" i="2"/>
  <c r="AL860" i="2" a="1"/>
  <c r="AL860" i="2" s="1"/>
  <c r="AL861" i="2" a="1"/>
  <c r="AL861" i="2" s="1"/>
  <c r="AL862" i="2" a="1"/>
  <c r="AL862" i="2" s="1"/>
  <c r="AL863" i="2" a="1"/>
  <c r="AL863" i="2" s="1"/>
  <c r="AL864" i="2" a="1"/>
  <c r="AL864" i="2" s="1"/>
  <c r="AL865" i="2" a="1"/>
  <c r="AL865" i="2" s="1"/>
  <c r="AL866" i="2" a="1"/>
  <c r="AL866" i="2" s="1"/>
  <c r="AL867" i="2" a="1"/>
  <c r="AL867" i="2" s="1"/>
  <c r="AL868" i="2" a="1"/>
  <c r="AL868" i="2" s="1"/>
  <c r="AL869" i="2" a="1"/>
  <c r="AL869" i="2" s="1"/>
  <c r="AL870" i="2" a="1"/>
  <c r="AL870" i="2" s="1"/>
  <c r="AL871" i="2" a="1"/>
  <c r="AL871" i="2" s="1"/>
  <c r="AL872" i="2" a="1"/>
  <c r="AL872" i="2"/>
  <c r="AL873" i="2" a="1"/>
  <c r="AL873" i="2" s="1"/>
  <c r="AL874" i="2" a="1"/>
  <c r="AL874" i="2" s="1"/>
  <c r="AL875" i="2" a="1"/>
  <c r="AL875" i="2" s="1"/>
  <c r="AL876" i="2" a="1"/>
  <c r="AL876" i="2" s="1"/>
  <c r="AL877" i="2" a="1"/>
  <c r="AL877" i="2" s="1"/>
  <c r="AL878" i="2" a="1"/>
  <c r="AL878" i="2" s="1"/>
  <c r="AL879" i="2" a="1"/>
  <c r="AL879" i="2" s="1"/>
  <c r="AL880" i="2" a="1"/>
  <c r="AL880" i="2" s="1"/>
  <c r="AL881" i="2" a="1"/>
  <c r="AL881" i="2" s="1"/>
  <c r="AL882" i="2" a="1"/>
  <c r="AL882" i="2" s="1"/>
  <c r="AL883" i="2" a="1"/>
  <c r="AL883" i="2" s="1"/>
  <c r="AL884" i="2" a="1"/>
  <c r="AL884" i="2" s="1"/>
  <c r="AL885" i="2" a="1"/>
  <c r="AL885" i="2" s="1"/>
  <c r="AL886" i="2" a="1"/>
  <c r="AL886" i="2" s="1"/>
  <c r="AL887" i="2" a="1"/>
  <c r="AL887" i="2" s="1"/>
  <c r="AL888" i="2" a="1"/>
  <c r="AL888" i="2" s="1"/>
  <c r="AL889" i="2" a="1"/>
  <c r="AL889" i="2"/>
  <c r="AL890" i="2" a="1"/>
  <c r="AL890" i="2" s="1"/>
  <c r="AL891" i="2" a="1"/>
  <c r="AL891" i="2" s="1"/>
  <c r="AL892" i="2" a="1"/>
  <c r="AL892" i="2" s="1"/>
  <c r="AL893" i="2" a="1"/>
  <c r="AL893" i="2" s="1"/>
  <c r="AL894" i="2" a="1"/>
  <c r="AL894" i="2" s="1"/>
  <c r="AL895" i="2" a="1"/>
  <c r="AL895" i="2" s="1"/>
  <c r="AL896" i="2" a="1"/>
  <c r="AL896" i="2" s="1"/>
  <c r="AL897" i="2" a="1"/>
  <c r="AL897" i="2"/>
  <c r="AL898" i="2" a="1"/>
  <c r="AL898" i="2" s="1"/>
  <c r="AL899" i="2" a="1"/>
  <c r="AL899" i="2" s="1"/>
  <c r="AL900" i="2" a="1"/>
  <c r="AL900" i="2" s="1"/>
  <c r="AL901" i="2" a="1"/>
  <c r="AL901" i="2" s="1"/>
  <c r="AL902" i="2" a="1"/>
  <c r="AL902" i="2"/>
  <c r="AL903" i="2" a="1"/>
  <c r="AL903" i="2" s="1"/>
  <c r="AL904" i="2" a="1"/>
  <c r="AL904" i="2" s="1"/>
  <c r="AL905" i="2" a="1"/>
  <c r="AL905" i="2" s="1"/>
  <c r="AL906" i="2" a="1"/>
  <c r="AL906" i="2" s="1"/>
  <c r="AL907" i="2" a="1"/>
  <c r="AL907" i="2"/>
  <c r="AL908" i="2" a="1"/>
  <c r="AL908" i="2" s="1"/>
  <c r="AL909" i="2" a="1"/>
  <c r="AL909" i="2" s="1"/>
  <c r="AL910" i="2" a="1"/>
  <c r="AL910" i="2" s="1"/>
  <c r="AL911" i="2" a="1"/>
  <c r="AL911" i="2" s="1"/>
  <c r="AL912" i="2" a="1"/>
  <c r="AL912" i="2"/>
  <c r="AL913" i="2" a="1"/>
  <c r="AL913" i="2" s="1"/>
  <c r="AL914" i="2" a="1"/>
  <c r="AL914" i="2" s="1"/>
  <c r="AL915" i="2" a="1"/>
  <c r="AL915" i="2" s="1"/>
  <c r="AL916" i="2" a="1"/>
  <c r="AL916" i="2" s="1"/>
  <c r="AL917" i="2" a="1"/>
  <c r="AL917" i="2" s="1"/>
  <c r="AL918" i="2" a="1"/>
  <c r="AL918" i="2" s="1"/>
  <c r="AL919" i="2" a="1"/>
  <c r="AL919" i="2" s="1"/>
  <c r="AL920" i="2" a="1"/>
  <c r="AL920" i="2"/>
  <c r="AL921" i="2" a="1"/>
  <c r="AL921" i="2" s="1"/>
  <c r="AL922" i="2" a="1"/>
  <c r="AL922" i="2"/>
  <c r="AL923" i="2" a="1"/>
  <c r="AL923" i="2" s="1"/>
  <c r="AL924" i="2" a="1"/>
  <c r="AL924" i="2" s="1"/>
  <c r="AL925" i="2" a="1"/>
  <c r="AL925" i="2" s="1"/>
  <c r="AL926" i="2" a="1"/>
  <c r="AL926" i="2" s="1"/>
  <c r="AL927" i="2" a="1"/>
  <c r="AL927" i="2" s="1"/>
  <c r="AL928" i="2" a="1"/>
  <c r="AL928" i="2"/>
  <c r="AL929" i="2" a="1"/>
  <c r="AL929" i="2" s="1"/>
  <c r="AL930" i="2" a="1"/>
  <c r="AL930" i="2"/>
  <c r="AL931" i="2" a="1"/>
  <c r="AL931" i="2"/>
  <c r="AL932" i="2" a="1"/>
  <c r="AL932" i="2" s="1"/>
  <c r="AL933" i="2" a="1"/>
  <c r="AL933" i="2"/>
  <c r="AL934" i="2" a="1"/>
  <c r="AL934" i="2" s="1"/>
  <c r="AL935" i="2" a="1"/>
  <c r="AL935" i="2" s="1"/>
  <c r="AL936" i="2" a="1"/>
  <c r="AL936" i="2" s="1"/>
  <c r="AL937" i="2" a="1"/>
  <c r="AL937" i="2" s="1"/>
  <c r="AL938" i="2" a="1"/>
  <c r="AL938" i="2"/>
  <c r="AL939" i="2" a="1"/>
  <c r="AL939" i="2" s="1"/>
  <c r="AL940" i="2" a="1"/>
  <c r="AL940" i="2" s="1"/>
  <c r="AL941" i="2" a="1"/>
  <c r="AL941" i="2" s="1"/>
  <c r="AL942" i="2" a="1"/>
  <c r="AL942" i="2" s="1"/>
  <c r="AL943" i="2" a="1"/>
  <c r="AL943" i="2"/>
  <c r="AL944" i="2" a="1"/>
  <c r="AL944" i="2" s="1"/>
  <c r="AL945" i="2" a="1"/>
  <c r="AL945" i="2"/>
  <c r="AL946" i="2" a="1"/>
  <c r="AL946" i="2"/>
  <c r="AL947" i="2" a="1"/>
  <c r="AL947" i="2" s="1"/>
  <c r="AL948" i="2" a="1"/>
  <c r="AL948" i="2" s="1"/>
  <c r="AL949" i="2" a="1"/>
  <c r="AL949" i="2" s="1"/>
  <c r="AL950" i="2" a="1"/>
  <c r="AL950" i="2" s="1"/>
  <c r="AL951" i="2" a="1"/>
  <c r="AL951" i="2"/>
  <c r="AL952" i="2" a="1"/>
  <c r="AL952" i="2" s="1"/>
  <c r="AL953" i="2" a="1"/>
  <c r="AL953" i="2" s="1"/>
  <c r="AL954" i="2" a="1"/>
  <c r="AL954" i="2" s="1"/>
  <c r="AL955" i="2" a="1"/>
  <c r="AL955" i="2" s="1"/>
  <c r="AL956" i="2" a="1"/>
  <c r="AL956" i="2" s="1"/>
  <c r="AL957" i="2" a="1"/>
  <c r="AL957" i="2" s="1"/>
  <c r="AL958" i="2" a="1"/>
  <c r="AL958" i="2" s="1"/>
  <c r="AL959" i="2" a="1"/>
  <c r="AL959" i="2" s="1"/>
  <c r="AL960" i="2" a="1"/>
  <c r="AL960" i="2" s="1"/>
  <c r="AL961" i="2" a="1"/>
  <c r="AL961" i="2"/>
  <c r="AL962" i="2" a="1"/>
  <c r="AL962" i="2" s="1"/>
  <c r="AL963" i="2" a="1"/>
  <c r="AL963" i="2" s="1"/>
  <c r="AL964" i="2" a="1"/>
  <c r="AL964" i="2" s="1"/>
  <c r="AL965" i="2" a="1"/>
  <c r="AL965" i="2" s="1"/>
  <c r="AL966" i="2" a="1"/>
  <c r="AL966" i="2" s="1"/>
  <c r="AL967" i="2" a="1"/>
  <c r="AL967" i="2" s="1"/>
  <c r="AL968" i="2" a="1"/>
  <c r="AL968" i="2" s="1"/>
  <c r="AL969" i="2" a="1"/>
  <c r="AL969" i="2"/>
  <c r="AL970" i="2" a="1"/>
  <c r="AL970" i="2" s="1"/>
  <c r="AL971" i="2" a="1"/>
  <c r="AL971" i="2" s="1"/>
  <c r="AL972" i="2" a="1"/>
  <c r="AL972" i="2" s="1"/>
  <c r="AL973" i="2" a="1"/>
  <c r="AL973" i="2" s="1"/>
  <c r="AL974" i="2" a="1"/>
  <c r="AL974" i="2" s="1"/>
  <c r="AL975" i="2" a="1"/>
  <c r="AL975" i="2" s="1"/>
  <c r="AL976" i="2" a="1"/>
  <c r="AL976" i="2" s="1"/>
  <c r="AL977" i="2" a="1"/>
  <c r="AL977" i="2" s="1"/>
  <c r="AL978" i="2" a="1"/>
  <c r="AL978" i="2"/>
  <c r="AL979" i="2" a="1"/>
  <c r="AL979" i="2"/>
  <c r="AL980" i="2" a="1"/>
  <c r="AL980" i="2" s="1"/>
  <c r="AL981" i="2" a="1"/>
  <c r="AL981" i="2" s="1"/>
  <c r="AL982" i="2" a="1"/>
  <c r="AL982" i="2"/>
  <c r="AL983" i="2" a="1"/>
  <c r="AL983" i="2" s="1"/>
  <c r="AL984" i="2" a="1"/>
  <c r="AL984" i="2"/>
  <c r="AL985" i="2" a="1"/>
  <c r="AL985" i="2" s="1"/>
  <c r="AL986" i="2" a="1"/>
  <c r="AL986" i="2"/>
  <c r="AL987" i="2" a="1"/>
  <c r="AL987" i="2"/>
  <c r="AL988" i="2" a="1"/>
  <c r="AL988" i="2" s="1"/>
  <c r="AL989" i="2" a="1"/>
  <c r="AL989" i="2" s="1"/>
  <c r="AL990" i="2" a="1"/>
  <c r="AL990" i="2"/>
  <c r="AL991" i="2" a="1"/>
  <c r="AL991" i="2"/>
  <c r="AL992" i="2" a="1"/>
  <c r="AL992" i="2" s="1"/>
  <c r="AL993" i="2" a="1"/>
  <c r="AL993" i="2" s="1"/>
  <c r="AL994" i="2" a="1"/>
  <c r="AL994" i="2" s="1"/>
  <c r="AL995" i="2" a="1"/>
  <c r="AL995" i="2" s="1"/>
  <c r="AL996" i="2" a="1"/>
  <c r="AL996" i="2" s="1"/>
  <c r="AL997" i="2" a="1"/>
  <c r="AL997" i="2" s="1"/>
  <c r="AL998" i="2" a="1"/>
  <c r="AL998" i="2" s="1"/>
  <c r="AL999" i="2" a="1"/>
  <c r="AL999" i="2" s="1"/>
  <c r="AL1000" i="2" a="1"/>
  <c r="AL1000" i="2"/>
  <c r="AL1001" i="2" a="1"/>
  <c r="AL1001" i="2" s="1"/>
  <c r="AL1002" i="2" a="1"/>
  <c r="AL1002" i="2"/>
  <c r="AL1003" i="2" a="1"/>
  <c r="AL1003" i="2"/>
  <c r="AL1004" i="2" a="1"/>
  <c r="AL1004" i="2" s="1"/>
  <c r="AL1005" i="2" a="1"/>
  <c r="AL1005" i="2" s="1"/>
  <c r="AL1006" i="2" a="1"/>
  <c r="AL1006" i="2" s="1"/>
  <c r="AL1007" i="2" a="1"/>
  <c r="AL1007" i="2" s="1"/>
  <c r="AL1008" i="2" a="1"/>
  <c r="AL1008" i="2" s="1"/>
  <c r="AL1009" i="2" a="1"/>
  <c r="AL1009" i="2" s="1"/>
  <c r="AL1010" i="2" a="1"/>
  <c r="AL1010" i="2"/>
  <c r="AL1011" i="2" a="1"/>
  <c r="AL1011" i="2" s="1"/>
  <c r="AL1012" i="2" a="1"/>
  <c r="AL1012" i="2" s="1"/>
  <c r="AL1013" i="2" a="1"/>
  <c r="AL1013" i="2" s="1"/>
  <c r="AL1014" i="2" a="1"/>
  <c r="AL1014" i="2" s="1"/>
  <c r="AL1015" i="2" a="1"/>
  <c r="AL1015" i="2" s="1"/>
  <c r="AL1016" i="2" a="1"/>
  <c r="AL1016" i="2" s="1"/>
  <c r="AL1017" i="2" a="1"/>
  <c r="AL1017" i="2" s="1"/>
  <c r="AL1018" i="2" a="1"/>
  <c r="AL1018" i="2"/>
  <c r="AL1019" i="2" a="1"/>
  <c r="AL1019" i="2" s="1"/>
  <c r="AL1020" i="2" a="1"/>
  <c r="AL1020" i="2" s="1"/>
  <c r="AL1021" i="2" a="1"/>
  <c r="AL1021" i="2" s="1"/>
  <c r="AL1022" i="2" a="1"/>
  <c r="AL1022" i="2" s="1"/>
  <c r="AL1023" i="2" a="1"/>
  <c r="AL1023" i="2" s="1"/>
  <c r="AL1024" i="2" a="1"/>
  <c r="AL1024" i="2" s="1"/>
  <c r="AL1025" i="2" a="1"/>
  <c r="AL1025" i="2" s="1"/>
  <c r="AL1026" i="2" a="1"/>
  <c r="AL1026" i="2" s="1"/>
  <c r="AL1027" i="2" a="1"/>
  <c r="AL1027" i="2" s="1"/>
  <c r="AL1028" i="2" a="1"/>
  <c r="AL1028" i="2" s="1"/>
  <c r="AL1029" i="2" a="1"/>
  <c r="AL1029" i="2" s="1"/>
  <c r="AL1030" i="2" a="1"/>
  <c r="AL1030" i="2" s="1"/>
  <c r="AL1031" i="2" a="1"/>
  <c r="AL1031" i="2" s="1"/>
  <c r="AL1032" i="2" a="1"/>
  <c r="AL1032" i="2" s="1"/>
  <c r="AL1033" i="2" a="1"/>
  <c r="AL1033" i="2" s="1"/>
  <c r="AL1034" i="2" a="1"/>
  <c r="AL1034" i="2" s="1"/>
  <c r="AL1035" i="2" a="1"/>
  <c r="AL1035" i="2" s="1"/>
  <c r="AL1036" i="2" a="1"/>
  <c r="AL1036" i="2" s="1"/>
  <c r="AL1037" i="2" a="1"/>
  <c r="AL1037" i="2" s="1"/>
  <c r="AL1038" i="2" a="1"/>
  <c r="AL1038" i="2" s="1"/>
  <c r="AL1039" i="2" a="1"/>
  <c r="AL1039" i="2" s="1"/>
  <c r="AL1040" i="2" a="1"/>
  <c r="AL1040" i="2" s="1"/>
  <c r="AL1041" i="2" a="1"/>
  <c r="AL1041" i="2"/>
  <c r="AL1042" i="2" a="1"/>
  <c r="AL1042" i="2" s="1"/>
  <c r="AL1043" i="2" a="1"/>
  <c r="AL1043" i="2" s="1"/>
  <c r="AL1044" i="2" a="1"/>
  <c r="AL1044" i="2" s="1"/>
  <c r="AL1045" i="2" a="1"/>
  <c r="AL1045" i="2"/>
  <c r="AL1046" i="2" a="1"/>
  <c r="AL1046" i="2" s="1"/>
  <c r="AL1047" i="2" a="1"/>
  <c r="AL1047" i="2" s="1"/>
  <c r="AL1048" i="2" a="1"/>
  <c r="AL1048" i="2" s="1"/>
  <c r="AL1049" i="2" a="1"/>
  <c r="AL1049" i="2" s="1"/>
  <c r="AL1050" i="2" a="1"/>
  <c r="AL1050" i="2" s="1"/>
  <c r="AL1051" i="2" a="1"/>
  <c r="AL1051" i="2" s="1"/>
  <c r="AL1052" i="2" a="1"/>
  <c r="AL1052" i="2" s="1"/>
  <c r="AL1053" i="2" a="1"/>
  <c r="AL1053" i="2" s="1"/>
  <c r="AL1054" i="2" a="1"/>
  <c r="AL1054" i="2" s="1"/>
  <c r="AL1055" i="2" a="1"/>
  <c r="AL1055" i="2" s="1"/>
  <c r="AL1056" i="2" a="1"/>
  <c r="AL1056" i="2" s="1"/>
  <c r="AL1057" i="2" a="1"/>
  <c r="AL1057" i="2" s="1"/>
  <c r="AL1058" i="2" a="1"/>
  <c r="AL1058" i="2" s="1"/>
  <c r="AL1059" i="2" a="1"/>
  <c r="AL1059" i="2" s="1"/>
  <c r="AL1060" i="2" a="1"/>
  <c r="AL1060" i="2" s="1"/>
  <c r="AL1061" i="2" a="1"/>
  <c r="AL1061" i="2" s="1"/>
  <c r="AL1062" i="2" a="1"/>
  <c r="AL1062" i="2" s="1"/>
  <c r="AL1063" i="2" a="1"/>
  <c r="AL1063" i="2" s="1"/>
  <c r="AL1064" i="2" a="1"/>
  <c r="AL1064" i="2" s="1"/>
  <c r="AL1065" i="2" a="1"/>
  <c r="AL1065" i="2" s="1"/>
  <c r="AL1066" i="2" a="1"/>
  <c r="AL1066" i="2" s="1"/>
  <c r="AL1067" i="2" a="1"/>
  <c r="AL1067" i="2" s="1"/>
  <c r="AL1068" i="2" a="1"/>
  <c r="AL1068" i="2" s="1"/>
  <c r="AL1069" i="2" a="1"/>
  <c r="AL1069" i="2" s="1"/>
  <c r="AL1070" i="2" a="1"/>
  <c r="AL1070" i="2" s="1"/>
  <c r="AL1071" i="2" a="1"/>
  <c r="AL1071" i="2"/>
  <c r="AL1072" i="2" a="1"/>
  <c r="AL1072" i="2"/>
  <c r="AL1073" i="2" a="1"/>
  <c r="AL1073" i="2" s="1"/>
  <c r="AL1074" i="2" a="1"/>
  <c r="AL1074" i="2"/>
  <c r="AL1075" i="2" a="1"/>
  <c r="AL1075" i="2" s="1"/>
  <c r="AL1076" i="2" a="1"/>
  <c r="AL1076" i="2" s="1"/>
  <c r="AL1077" i="2" a="1"/>
  <c r="AL1077" i="2" s="1"/>
  <c r="AL1078" i="2" a="1"/>
  <c r="AL1078" i="2" s="1"/>
  <c r="AL1079" i="2" a="1"/>
  <c r="AL1079" i="2" s="1"/>
  <c r="AL1080" i="2" a="1"/>
  <c r="AL1080" i="2" s="1"/>
  <c r="AL1081" i="2" a="1"/>
  <c r="AL1081" i="2" s="1"/>
  <c r="AL1082" i="2" a="1"/>
  <c r="AL1082" i="2" s="1"/>
  <c r="AL1083" i="2" a="1"/>
  <c r="AL1083" i="2" s="1"/>
  <c r="AL1084" i="2" a="1"/>
  <c r="AL1084" i="2" s="1"/>
  <c r="AL1085" i="2" a="1"/>
  <c r="AL1085" i="2" s="1"/>
  <c r="AL1086" i="2" a="1"/>
  <c r="AL1086" i="2" s="1"/>
  <c r="AL1087" i="2" a="1"/>
  <c r="AL1087" i="2"/>
  <c r="AL1088" i="2" a="1"/>
  <c r="AL1088" i="2"/>
  <c r="AL1089" i="2" a="1"/>
  <c r="AL1089" i="2" s="1"/>
  <c r="AL1090" i="2" a="1"/>
  <c r="AL1090" i="2" s="1"/>
  <c r="AL1091" i="2" a="1"/>
  <c r="AL1091" i="2" s="1"/>
  <c r="AL1092" i="2" a="1"/>
  <c r="AL1092" i="2" s="1"/>
  <c r="AL1093" i="2" a="1"/>
  <c r="AL1093" i="2" s="1"/>
  <c r="AL1094" i="2" a="1"/>
  <c r="AL1094" i="2"/>
  <c r="AL1095" i="2" a="1"/>
  <c r="AL1095" i="2" s="1"/>
  <c r="AL1096" i="2" a="1"/>
  <c r="AL1096" i="2" s="1"/>
  <c r="AL1097" i="2" a="1"/>
  <c r="AL1097" i="2" s="1"/>
  <c r="AL1098" i="2" a="1"/>
  <c r="AL1098" i="2" s="1"/>
  <c r="AL1099" i="2" a="1"/>
  <c r="AL1099" i="2"/>
  <c r="AL1100" i="2" a="1"/>
  <c r="AL1100" i="2" s="1"/>
  <c r="AL1101" i="2" a="1"/>
  <c r="AL1101" i="2" s="1"/>
  <c r="AL1102" i="2" a="1"/>
  <c r="AL1102" i="2" s="1"/>
  <c r="AL1103" i="2" a="1"/>
  <c r="AL1103" i="2" s="1"/>
  <c r="AL1104" i="2" a="1"/>
  <c r="AL1104" i="2" s="1"/>
  <c r="AL1105" i="2" a="1"/>
  <c r="AL1105" i="2" s="1"/>
  <c r="AL1106" i="2" a="1"/>
  <c r="AL1106" i="2"/>
  <c r="AL1107" i="2" a="1"/>
  <c r="AL1107" i="2" s="1"/>
  <c r="AL1108" i="2" a="1"/>
  <c r="AL1108" i="2" s="1"/>
  <c r="AL1109" i="2" a="1"/>
  <c r="AL1109" i="2" s="1"/>
  <c r="AL1110" i="2" a="1"/>
  <c r="AL1110" i="2" s="1"/>
  <c r="AL1111" i="2" a="1"/>
  <c r="AL1111" i="2" s="1"/>
  <c r="AL1112" i="2" a="1"/>
  <c r="AL1112" i="2"/>
  <c r="AL1113" i="2" a="1"/>
  <c r="AL1113" i="2" s="1"/>
  <c r="AL1114" i="2" a="1"/>
  <c r="AL1114" i="2" s="1"/>
  <c r="AL1115" i="2" a="1"/>
  <c r="AL1115" i="2" s="1"/>
  <c r="AL1116" i="2" a="1"/>
  <c r="AL1116" i="2" s="1"/>
  <c r="AL1117" i="2" a="1"/>
  <c r="AL1117" i="2"/>
  <c r="AL1118" i="2" a="1"/>
  <c r="AL1118" i="2" s="1"/>
  <c r="AL1119" i="2" a="1"/>
  <c r="AL1119" i="2" s="1"/>
  <c r="AL1120" i="2" a="1"/>
  <c r="AL1120" i="2" s="1"/>
  <c r="AL1121" i="2" a="1"/>
  <c r="AL1121" i="2" s="1"/>
  <c r="AL1122" i="2" a="1"/>
  <c r="AL1122" i="2" s="1"/>
  <c r="AL1123" i="2" a="1"/>
  <c r="AL1123" i="2" s="1"/>
  <c r="AL1124" i="2" a="1"/>
  <c r="AL1124" i="2" s="1"/>
  <c r="AL1125" i="2" a="1"/>
  <c r="AL1125" i="2" s="1"/>
  <c r="AL1126" i="2" a="1"/>
  <c r="AL1126" i="2" s="1"/>
  <c r="AL1127" i="2" a="1"/>
  <c r="AL1127" i="2" s="1"/>
  <c r="AL1128" i="2" a="1"/>
  <c r="AL1128" i="2" s="1"/>
  <c r="AL1129" i="2" a="1"/>
  <c r="AL1129" i="2" s="1"/>
  <c r="AL1130" i="2" a="1"/>
  <c r="AL1130" i="2" s="1"/>
  <c r="AL1131" i="2" a="1"/>
  <c r="AL1131" i="2" s="1"/>
  <c r="AL1132" i="2" a="1"/>
  <c r="AL1132" i="2" s="1"/>
  <c r="AL1133" i="2" a="1"/>
  <c r="AL1133" i="2" s="1"/>
  <c r="AL1134" i="2" a="1"/>
  <c r="AL1134" i="2" s="1"/>
  <c r="AL1135" i="2" a="1"/>
  <c r="AL1135" i="2" s="1"/>
  <c r="AL1136" i="2" a="1"/>
  <c r="AL1136" i="2" s="1"/>
  <c r="AL1137" i="2" a="1"/>
  <c r="AL1137" i="2" s="1"/>
  <c r="AL1138" i="2" a="1"/>
  <c r="AL1138" i="2" s="1"/>
  <c r="AL1139" i="2" a="1"/>
  <c r="AL1139" i="2" s="1"/>
  <c r="AL1140" i="2" a="1"/>
  <c r="AL1140" i="2" s="1"/>
  <c r="AL1141" i="2" a="1"/>
  <c r="AL1141" i="2" s="1"/>
  <c r="AL1142" i="2" a="1"/>
  <c r="AL1142" i="2" s="1"/>
  <c r="AL1143" i="2" a="1"/>
  <c r="AL1143" i="2" s="1"/>
  <c r="AL1144" i="2" a="1"/>
  <c r="AL1144" i="2" s="1"/>
  <c r="AL1145" i="2" a="1"/>
  <c r="AL1145" i="2" s="1"/>
  <c r="AL1146" i="2" a="1"/>
  <c r="AL1146" i="2" s="1"/>
  <c r="AL1147" i="2" a="1"/>
  <c r="AL1147" i="2" s="1"/>
  <c r="AL1148" i="2" a="1"/>
  <c r="AL1148" i="2" s="1"/>
  <c r="AL1149" i="2" a="1"/>
  <c r="AL1149" i="2" s="1"/>
  <c r="AL1150" i="2" a="1"/>
  <c r="AL1150" i="2" s="1"/>
  <c r="AL1151" i="2" a="1"/>
  <c r="AL1151" i="2" s="1"/>
  <c r="AL1152" i="2" a="1"/>
  <c r="AL1152" i="2" s="1"/>
  <c r="AL1153" i="2" a="1"/>
  <c r="AL1153" i="2" s="1"/>
  <c r="AL1154" i="2" a="1"/>
  <c r="AL1154" i="2" s="1"/>
  <c r="AL1155" i="2" a="1"/>
  <c r="AL1155" i="2" s="1"/>
  <c r="AL1156" i="2" a="1"/>
  <c r="AL1156" i="2" s="1"/>
  <c r="AL1157" i="2" a="1"/>
  <c r="AL1157" i="2" s="1"/>
  <c r="AL1158" i="2" a="1"/>
  <c r="AL1158" i="2" s="1"/>
  <c r="AL1159" i="2" a="1"/>
  <c r="AL1159" i="2" s="1"/>
  <c r="AL1160" i="2" a="1"/>
  <c r="AL1160" i="2" s="1"/>
  <c r="AL1161" i="2" a="1"/>
  <c r="AL1161" i="2" s="1"/>
  <c r="AL1162" i="2" a="1"/>
  <c r="AL1162" i="2" s="1"/>
  <c r="AL1163" i="2" a="1"/>
  <c r="AL1163" i="2" s="1"/>
  <c r="AL1164" i="2" a="1"/>
  <c r="AL1164" i="2" s="1"/>
  <c r="AL1165" i="2" a="1"/>
  <c r="AL1165" i="2" s="1"/>
  <c r="AL1166" i="2" a="1"/>
  <c r="AL1166" i="2" s="1"/>
  <c r="AL1167" i="2" a="1"/>
  <c r="AL1167" i="2" s="1"/>
  <c r="AL1168" i="2" a="1"/>
  <c r="AL1168" i="2" s="1"/>
  <c r="AL1169" i="2" a="1"/>
  <c r="AL1169" i="2" s="1"/>
  <c r="AL1170" i="2" a="1"/>
  <c r="AL1170" i="2" s="1"/>
  <c r="AL1171" i="2" a="1"/>
  <c r="AL1171" i="2" s="1"/>
  <c r="AL1172" i="2" a="1"/>
  <c r="AL1172" i="2" s="1"/>
  <c r="AL1173" i="2" a="1"/>
  <c r="AL1173" i="2" s="1"/>
  <c r="AL1174" i="2" a="1"/>
  <c r="AL1174" i="2" s="1"/>
  <c r="AL1175" i="2" a="1"/>
  <c r="AL1175" i="2" s="1"/>
  <c r="AL1176" i="2" a="1"/>
  <c r="AL1176" i="2" s="1"/>
  <c r="AL1177" i="2" a="1"/>
  <c r="AL1177" i="2" s="1"/>
  <c r="AL1178" i="2" a="1"/>
  <c r="AL1178" i="2" s="1"/>
  <c r="AL1179" i="2" a="1"/>
  <c r="AL1179" i="2" s="1"/>
  <c r="AL1180" i="2" a="1"/>
  <c r="AL1180" i="2" s="1"/>
  <c r="AL1181" i="2" a="1"/>
  <c r="AL1181" i="2" s="1"/>
  <c r="AL1182" i="2" a="1"/>
  <c r="AL1182" i="2" s="1"/>
  <c r="AL1183" i="2" a="1"/>
  <c r="AL1183" i="2" s="1"/>
  <c r="AL1184" i="2" a="1"/>
  <c r="AL1184" i="2" s="1"/>
  <c r="AL1185" i="2" a="1"/>
  <c r="AL1185" i="2" s="1"/>
  <c r="AL1186" i="2" a="1"/>
  <c r="AL1186" i="2" s="1"/>
  <c r="AL1187" i="2" a="1"/>
  <c r="AL1187" i="2" s="1"/>
  <c r="AL1188" i="2" a="1"/>
  <c r="AL1188" i="2" s="1"/>
  <c r="AL1189" i="2" a="1"/>
  <c r="AL1189" i="2" s="1"/>
  <c r="AL1190" i="2" a="1"/>
  <c r="AL1190" i="2" s="1"/>
  <c r="AL1191" i="2" a="1"/>
  <c r="AL1191" i="2" s="1"/>
  <c r="AL1192" i="2" a="1"/>
  <c r="AL1192" i="2" s="1"/>
  <c r="AL1193" i="2" a="1"/>
  <c r="AL1193" i="2" s="1"/>
  <c r="AL1194" i="2" a="1"/>
  <c r="AL1194" i="2" s="1"/>
  <c r="AL1195" i="2" a="1"/>
  <c r="AL1195" i="2" s="1"/>
  <c r="AL1196" i="2" a="1"/>
  <c r="AL1196" i="2" s="1"/>
  <c r="AL1197" i="2" a="1"/>
  <c r="AL1197" i="2" s="1"/>
  <c r="AL1198" i="2" a="1"/>
  <c r="AL1198" i="2" s="1"/>
  <c r="AL1199" i="2" a="1"/>
  <c r="AL1199" i="2" s="1"/>
  <c r="AL1200" i="2" a="1"/>
  <c r="AL1200" i="2" s="1"/>
  <c r="AL1201" i="2" a="1"/>
  <c r="AL1201" i="2" s="1"/>
  <c r="AL1202" i="2" a="1"/>
  <c r="AL1202" i="2" s="1"/>
  <c r="AL1203" i="2" a="1"/>
  <c r="AL1203" i="2" s="1"/>
  <c r="AL1204" i="2" a="1"/>
  <c r="AL1204" i="2" s="1"/>
  <c r="AL1205" i="2" a="1"/>
  <c r="AL1205" i="2" s="1"/>
  <c r="AL1206" i="2" a="1"/>
  <c r="AL1206" i="2" s="1"/>
  <c r="AL1207" i="2" a="1"/>
  <c r="AL1207" i="2" s="1"/>
  <c r="AL1208" i="2" a="1"/>
  <c r="AL1208" i="2" s="1"/>
  <c r="AL1209" i="2" a="1"/>
  <c r="AL1209" i="2" s="1"/>
  <c r="AL1210" i="2" a="1"/>
  <c r="AL1210" i="2" s="1"/>
  <c r="AL1211" i="2" a="1"/>
  <c r="AL1211" i="2" s="1"/>
  <c r="AL1212" i="2" a="1"/>
  <c r="AL1212" i="2" s="1"/>
  <c r="AL1213" i="2" a="1"/>
  <c r="AL1213" i="2" s="1"/>
  <c r="AL1214" i="2" a="1"/>
  <c r="AL1214" i="2" s="1"/>
  <c r="AL1215" i="2" a="1"/>
  <c r="AL1215" i="2" s="1"/>
  <c r="AL1216" i="2" a="1"/>
  <c r="AL1216" i="2" s="1"/>
  <c r="AL1217" i="2" a="1"/>
  <c r="AL1217" i="2" s="1"/>
  <c r="AL1218" i="2" a="1"/>
  <c r="AL1218" i="2" s="1"/>
  <c r="AL1219" i="2" a="1"/>
  <c r="AL1219" i="2" s="1"/>
  <c r="AL1220" i="2" a="1"/>
  <c r="AL1220" i="2" s="1"/>
  <c r="AL1221" i="2" a="1"/>
  <c r="AL1221" i="2" s="1"/>
  <c r="AL1222" i="2" a="1"/>
  <c r="AL1222" i="2" s="1"/>
  <c r="AL1223" i="2" a="1"/>
  <c r="AL1223" i="2" s="1"/>
  <c r="AL1224" i="2" a="1"/>
  <c r="AL1224" i="2" s="1"/>
  <c r="AL1225" i="2" a="1"/>
  <c r="AL1225" i="2" s="1"/>
  <c r="AL1226" i="2" a="1"/>
  <c r="AL1226" i="2" s="1"/>
  <c r="AL1227" i="2" a="1"/>
  <c r="AL1227" i="2" s="1"/>
  <c r="AL1228" i="2" a="1"/>
  <c r="AL1228" i="2" s="1"/>
  <c r="AL1229" i="2" a="1"/>
  <c r="AL1229" i="2" s="1"/>
  <c r="AL1230" i="2" a="1"/>
  <c r="AL1230" i="2" s="1"/>
  <c r="AL1231" i="2" a="1"/>
  <c r="AL1231" i="2" s="1"/>
  <c r="AL1232" i="2" a="1"/>
  <c r="AL1232" i="2" s="1"/>
  <c r="AL1233" i="2" a="1"/>
  <c r="AL1233" i="2" s="1"/>
  <c r="AL1234" i="2" a="1"/>
  <c r="AL1234" i="2" s="1"/>
  <c r="AL1235" i="2" a="1"/>
  <c r="AL1235" i="2" s="1"/>
  <c r="AL1236" i="2" a="1"/>
  <c r="AL1236" i="2" s="1"/>
  <c r="AL1237" i="2" a="1"/>
  <c r="AL1237" i="2" s="1"/>
  <c r="AL1238" i="2" a="1"/>
  <c r="AL1238" i="2" s="1"/>
  <c r="AL1239" i="2" a="1"/>
  <c r="AL1239" i="2" s="1"/>
  <c r="AL1240" i="2" a="1"/>
  <c r="AL1240" i="2" s="1"/>
  <c r="AL1241" i="2" a="1"/>
  <c r="AL1241" i="2" s="1"/>
  <c r="AL1242" i="2" a="1"/>
  <c r="AL1242" i="2" s="1"/>
  <c r="AL1243" i="2" a="1"/>
  <c r="AL1243" i="2" s="1"/>
  <c r="AL1244" i="2" a="1"/>
  <c r="AL1244" i="2" s="1"/>
  <c r="AL1245" i="2" a="1"/>
  <c r="AL1245" i="2" s="1"/>
  <c r="AL1246" i="2" a="1"/>
  <c r="AL1246" i="2" s="1"/>
  <c r="AL1247" i="2" a="1"/>
  <c r="AL1247" i="2" s="1"/>
  <c r="AL1248" i="2" a="1"/>
  <c r="AL1248" i="2" s="1"/>
  <c r="AL1249" i="2" a="1"/>
  <c r="AL1249" i="2" s="1"/>
  <c r="AL1250" i="2" a="1"/>
  <c r="AL1250" i="2" s="1"/>
  <c r="AL1251" i="2" a="1"/>
  <c r="AL1251" i="2" s="1"/>
  <c r="AL1252" i="2" a="1"/>
  <c r="AL1252" i="2" s="1"/>
  <c r="AL1253" i="2" a="1"/>
  <c r="AL1253" i="2" s="1"/>
  <c r="AL1254" i="2" a="1"/>
  <c r="AL1254" i="2" s="1"/>
  <c r="AL1255" i="2" a="1"/>
  <c r="AL1255" i="2" s="1"/>
  <c r="AL1256" i="2" a="1"/>
  <c r="AL1256" i="2" s="1"/>
  <c r="AL1257" i="2" a="1"/>
  <c r="AL1257" i="2" s="1"/>
  <c r="AL1258" i="2" a="1"/>
  <c r="AL1258" i="2" s="1"/>
  <c r="AL1259" i="2" a="1"/>
  <c r="AL1259" i="2" s="1"/>
  <c r="AL1260" i="2" a="1"/>
  <c r="AL1260" i="2" s="1"/>
  <c r="AL1261" i="2" a="1"/>
  <c r="AL1261" i="2" s="1"/>
  <c r="AL1262" i="2" a="1"/>
  <c r="AL1262" i="2" s="1"/>
  <c r="AL1263" i="2" a="1"/>
  <c r="AL1263" i="2" s="1"/>
  <c r="AL1264" i="2" a="1"/>
  <c r="AL1264" i="2" s="1"/>
  <c r="AL1265" i="2" a="1"/>
  <c r="AL1265" i="2" s="1"/>
  <c r="AL1266" i="2" a="1"/>
  <c r="AL1266" i="2" s="1"/>
  <c r="AL1267" i="2" a="1"/>
  <c r="AL1267" i="2" s="1"/>
  <c r="AL1268" i="2" a="1"/>
  <c r="AL1268" i="2" s="1"/>
  <c r="AL1269" i="2" a="1"/>
  <c r="AL1269" i="2" s="1"/>
  <c r="AL1270" i="2" a="1"/>
  <c r="AL1270" i="2" s="1"/>
  <c r="AL1271" i="2" a="1"/>
  <c r="AL1271" i="2" s="1"/>
  <c r="AL1272" i="2" a="1"/>
  <c r="AL1272" i="2" s="1"/>
  <c r="AL1273" i="2" a="1"/>
  <c r="AL1273" i="2" s="1"/>
  <c r="AL1274" i="2" a="1"/>
  <c r="AL1274" i="2" s="1"/>
  <c r="AL1275" i="2" a="1"/>
  <c r="AL1275" i="2" s="1"/>
  <c r="AL1276" i="2" a="1"/>
  <c r="AL1276" i="2" s="1"/>
  <c r="AL1277" i="2" a="1"/>
  <c r="AL1277" i="2" s="1"/>
  <c r="AL1278" i="2" a="1"/>
  <c r="AL1278" i="2" s="1"/>
  <c r="AL1279" i="2" a="1"/>
  <c r="AL1279" i="2" s="1"/>
  <c r="AL1280" i="2" a="1"/>
  <c r="AL1280" i="2" s="1"/>
  <c r="AL1281" i="2" a="1"/>
  <c r="AL1281" i="2" s="1"/>
  <c r="AL1282" i="2" a="1"/>
  <c r="AL1282" i="2" s="1"/>
  <c r="AL1283" i="2" a="1"/>
  <c r="AL1283" i="2" s="1"/>
  <c r="AL1284" i="2" a="1"/>
  <c r="AL1284" i="2" s="1"/>
  <c r="AL1285" i="2" a="1"/>
  <c r="AL1285" i="2" s="1"/>
  <c r="AL1286" i="2" a="1"/>
  <c r="AL1286" i="2" s="1"/>
  <c r="AL1287" i="2" a="1"/>
  <c r="AL1287" i="2" s="1"/>
  <c r="AL1288" i="2" a="1"/>
  <c r="AL1288" i="2" s="1"/>
  <c r="AL1289" i="2" a="1"/>
  <c r="AL1289" i="2" s="1"/>
  <c r="AL1290" i="2" a="1"/>
  <c r="AL1290" i="2" s="1"/>
  <c r="AL1291" i="2" a="1"/>
  <c r="AL1291" i="2" s="1"/>
  <c r="AL1292" i="2" a="1"/>
  <c r="AL1292" i="2" s="1"/>
  <c r="AL1293" i="2" a="1"/>
  <c r="AL1293" i="2" s="1"/>
  <c r="AL1294" i="2" a="1"/>
  <c r="AL1294" i="2" s="1"/>
  <c r="AL1295" i="2" a="1"/>
  <c r="AL1295" i="2" s="1"/>
  <c r="AL1296" i="2" a="1"/>
  <c r="AL1296" i="2" s="1"/>
  <c r="AL1297" i="2" a="1"/>
  <c r="AL1297" i="2" s="1"/>
  <c r="AL1298" i="2" a="1"/>
  <c r="AL1298" i="2" s="1"/>
  <c r="AL1299" i="2" a="1"/>
  <c r="AL1299" i="2" s="1"/>
  <c r="AL1300" i="2" a="1"/>
  <c r="AL1300" i="2" s="1"/>
  <c r="AL1301" i="2" a="1"/>
  <c r="AL1301" i="2" s="1"/>
  <c r="AL1302" i="2" a="1"/>
  <c r="AL1302" i="2" s="1"/>
  <c r="AL1303" i="2" a="1"/>
  <c r="AL1303" i="2" s="1"/>
  <c r="AL1304" i="2" a="1"/>
  <c r="AL1304" i="2" s="1"/>
  <c r="AL1305" i="2" a="1"/>
  <c r="AL1305" i="2" s="1"/>
  <c r="AL1306" i="2" a="1"/>
  <c r="AL1306" i="2" s="1"/>
  <c r="AL1307" i="2" a="1"/>
  <c r="AL1307" i="2" s="1"/>
  <c r="AL1308" i="2" a="1"/>
  <c r="AL1308" i="2" s="1"/>
  <c r="AL1309" i="2" a="1"/>
  <c r="AL1309" i="2" s="1"/>
  <c r="AL1310" i="2" a="1"/>
  <c r="AL1310" i="2" s="1"/>
  <c r="AL1311" i="2" a="1"/>
  <c r="AL1311" i="2" s="1"/>
  <c r="AL1312" i="2" a="1"/>
  <c r="AL1312" i="2" s="1"/>
  <c r="AL1313" i="2" a="1"/>
  <c r="AL1313" i="2" s="1"/>
  <c r="AL1314" i="2" a="1"/>
  <c r="AL1314" i="2" s="1"/>
  <c r="AL1315" i="2" a="1"/>
  <c r="AL1315" i="2" s="1"/>
  <c r="AL1316" i="2" a="1"/>
  <c r="AL1316" i="2" s="1"/>
  <c r="AL1317" i="2" a="1"/>
  <c r="AL1317" i="2" s="1"/>
  <c r="AL1318" i="2" a="1"/>
  <c r="AL1318" i="2" s="1"/>
  <c r="AL1319" i="2" a="1"/>
  <c r="AL1319" i="2" s="1"/>
  <c r="AL1320" i="2" a="1"/>
  <c r="AL1320" i="2" s="1"/>
  <c r="AL1321" i="2" a="1"/>
  <c r="AL1321" i="2" s="1"/>
  <c r="AL1322" i="2" a="1"/>
  <c r="AL1322" i="2" s="1"/>
  <c r="AL1323" i="2" a="1"/>
  <c r="AL1323" i="2" s="1"/>
  <c r="AL1324" i="2" a="1"/>
  <c r="AL1324" i="2" s="1"/>
  <c r="AL1325" i="2" a="1"/>
  <c r="AL1325" i="2" s="1"/>
  <c r="AL1326" i="2" a="1"/>
  <c r="AL1326" i="2" s="1"/>
  <c r="AL1327" i="2" a="1"/>
  <c r="AL1327" i="2" s="1"/>
  <c r="AL1328" i="2" a="1"/>
  <c r="AL1328" i="2" s="1"/>
  <c r="AL1329" i="2" a="1"/>
  <c r="AL1329" i="2" s="1"/>
  <c r="AL1330" i="2" a="1"/>
  <c r="AL1330" i="2" s="1"/>
  <c r="AL1331" i="2" a="1"/>
  <c r="AL1331" i="2" s="1"/>
  <c r="AL1332" i="2" a="1"/>
  <c r="AL1332" i="2" s="1"/>
  <c r="AL1333" i="2" a="1"/>
  <c r="AL1333" i="2" s="1"/>
  <c r="AL1334" i="2" a="1"/>
  <c r="AL1334" i="2" s="1"/>
  <c r="AL1335" i="2" a="1"/>
  <c r="AL1335" i="2" s="1"/>
  <c r="AL1336" i="2" a="1"/>
  <c r="AL1336" i="2" s="1"/>
  <c r="AL1337" i="2" a="1"/>
  <c r="AL1337" i="2" s="1"/>
  <c r="AL1338" i="2" a="1"/>
  <c r="AL1338" i="2" s="1"/>
  <c r="AL1339" i="2" a="1"/>
  <c r="AL1339" i="2" s="1"/>
  <c r="AL1340" i="2" a="1"/>
  <c r="AL1340" i="2" s="1"/>
  <c r="AL1341" i="2" a="1"/>
  <c r="AL1341" i="2" s="1"/>
  <c r="AL1342" i="2" a="1"/>
  <c r="AL1342" i="2" s="1"/>
  <c r="AL1343" i="2" a="1"/>
  <c r="AL1343" i="2" s="1"/>
  <c r="AL1344" i="2" a="1"/>
  <c r="AL1344" i="2" s="1"/>
  <c r="AL1345" i="2" a="1"/>
  <c r="AL1345" i="2" s="1"/>
  <c r="AL1346" i="2" a="1"/>
  <c r="AL1346" i="2" s="1"/>
  <c r="AL1347" i="2" a="1"/>
  <c r="AL1347" i="2" s="1"/>
  <c r="AL1348" i="2" a="1"/>
  <c r="AL1348" i="2" s="1"/>
  <c r="AL1349" i="2" a="1"/>
  <c r="AL1349" i="2" s="1"/>
  <c r="AL1350" i="2" a="1"/>
  <c r="AL1350" i="2" s="1"/>
  <c r="AL1351" i="2" a="1"/>
  <c r="AL1351" i="2" s="1"/>
  <c r="AL1352" i="2" a="1"/>
  <c r="AL1352" i="2" s="1"/>
  <c r="AL1353" i="2" a="1"/>
  <c r="AL1353" i="2" s="1"/>
  <c r="AL1354" i="2" a="1"/>
  <c r="AL1354" i="2" s="1"/>
  <c r="AL1355" i="2" a="1"/>
  <c r="AL1355" i="2" s="1"/>
  <c r="AL1356" i="2" a="1"/>
  <c r="AL1356" i="2" s="1"/>
  <c r="AL1357" i="2" a="1"/>
  <c r="AL1357" i="2" s="1"/>
  <c r="AL1358" i="2" a="1"/>
  <c r="AL1358" i="2" s="1"/>
  <c r="AL1359" i="2" a="1"/>
  <c r="AL1359" i="2" s="1"/>
  <c r="AL1360" i="2" a="1"/>
  <c r="AL1360" i="2" s="1"/>
  <c r="AL1361" i="2" a="1"/>
  <c r="AL1361" i="2" s="1"/>
  <c r="AL1362" i="2" a="1"/>
  <c r="AL1362" i="2" s="1"/>
  <c r="AL1363" i="2" a="1"/>
  <c r="AL1363" i="2" s="1"/>
  <c r="AL1364" i="2" a="1"/>
  <c r="AL1364" i="2" s="1"/>
  <c r="AL1365" i="2" a="1"/>
  <c r="AL1365" i="2" s="1"/>
  <c r="AL1366" i="2" a="1"/>
  <c r="AL1366" i="2" s="1"/>
  <c r="AL1367" i="2" a="1"/>
  <c r="AL1367" i="2" s="1"/>
  <c r="AL1368" i="2" a="1"/>
  <c r="AL1368" i="2" s="1"/>
  <c r="AL1369" i="2" a="1"/>
  <c r="AL1369" i="2" s="1"/>
  <c r="AL1370" i="2" a="1"/>
  <c r="AL1370" i="2" s="1"/>
  <c r="AL1371" i="2" a="1"/>
  <c r="AL1371" i="2" s="1"/>
  <c r="AL1372" i="2" a="1"/>
  <c r="AL1372" i="2" s="1"/>
  <c r="AL1373" i="2" a="1"/>
  <c r="AL1373" i="2" s="1"/>
  <c r="AL1374" i="2" a="1"/>
  <c r="AL1374" i="2" s="1"/>
  <c r="AL1375" i="2" a="1"/>
  <c r="AL1375" i="2" s="1"/>
  <c r="AL1376" i="2" a="1"/>
  <c r="AL1376" i="2" s="1"/>
  <c r="AL1377" i="2" a="1"/>
  <c r="AL1377" i="2" s="1"/>
  <c r="AL1378" i="2" a="1"/>
  <c r="AL1378" i="2" s="1"/>
  <c r="AL1379" i="2" a="1"/>
  <c r="AL1379" i="2" s="1"/>
  <c r="AL1380" i="2" a="1"/>
  <c r="AL1380" i="2" s="1"/>
  <c r="AL1381" i="2" a="1"/>
  <c r="AL1381" i="2" s="1"/>
  <c r="AL1382" i="2" a="1"/>
  <c r="AL1382" i="2" s="1"/>
  <c r="AL1383" i="2" a="1"/>
  <c r="AL1383" i="2" s="1"/>
  <c r="AL1384" i="2" a="1"/>
  <c r="AL1384" i="2" s="1"/>
  <c r="AL1385" i="2" a="1"/>
  <c r="AL1385" i="2" s="1"/>
  <c r="AL1386" i="2" a="1"/>
  <c r="AL1386" i="2" s="1"/>
  <c r="AL1387" i="2" a="1"/>
  <c r="AL1387" i="2" s="1"/>
  <c r="AL1388" i="2" a="1"/>
  <c r="AL1388" i="2" s="1"/>
  <c r="AL1389" i="2" a="1"/>
  <c r="AL1389" i="2" s="1"/>
  <c r="AL1390" i="2" a="1"/>
  <c r="AL1390" i="2" s="1"/>
  <c r="AL1391" i="2" a="1"/>
  <c r="AL1391" i="2" s="1"/>
  <c r="AL1392" i="2" a="1"/>
  <c r="AL1392" i="2" s="1"/>
  <c r="AL1393" i="2" a="1"/>
  <c r="AL1393" i="2" s="1"/>
  <c r="AL1394" i="2" a="1"/>
  <c r="AL1394" i="2" s="1"/>
  <c r="AL1395" i="2" a="1"/>
  <c r="AL1395" i="2" s="1"/>
  <c r="AL1396" i="2" a="1"/>
  <c r="AL1396" i="2" s="1"/>
  <c r="AL1397" i="2" a="1"/>
  <c r="AL1397" i="2" s="1"/>
  <c r="AL1398" i="2" a="1"/>
  <c r="AL1398" i="2" s="1"/>
  <c r="AL1399" i="2" a="1"/>
  <c r="AL1399" i="2" s="1"/>
  <c r="AL1400" i="2" a="1"/>
  <c r="AL1400" i="2" s="1"/>
  <c r="AL1401" i="2" a="1"/>
  <c r="AL1401" i="2" s="1"/>
  <c r="AL1402" i="2" a="1"/>
  <c r="AL1402" i="2" s="1"/>
  <c r="AL1403" i="2" a="1"/>
  <c r="AL1403" i="2" s="1"/>
  <c r="AL1404" i="2" a="1"/>
  <c r="AL1404" i="2" s="1"/>
  <c r="AL1405" i="2" a="1"/>
  <c r="AL1405" i="2" s="1"/>
  <c r="AL1406" i="2" a="1"/>
  <c r="AL1406" i="2" s="1"/>
  <c r="AL1407" i="2" a="1"/>
  <c r="AL1407" i="2" s="1"/>
  <c r="AL1408" i="2" a="1"/>
  <c r="AL1408" i="2" s="1"/>
  <c r="AL1409" i="2" a="1"/>
  <c r="AL1409" i="2" s="1"/>
  <c r="AL1410" i="2" a="1"/>
  <c r="AL1410" i="2" s="1"/>
  <c r="AL1411" i="2" a="1"/>
  <c r="AL1411" i="2" s="1"/>
  <c r="AL1412" i="2" a="1"/>
  <c r="AL1412" i="2" s="1"/>
  <c r="AL1413" i="2" a="1"/>
  <c r="AL1413" i="2" s="1"/>
  <c r="AL1414" i="2" a="1"/>
  <c r="AL1414" i="2" s="1"/>
  <c r="AL1415" i="2" a="1"/>
  <c r="AL1415" i="2" s="1"/>
  <c r="AL1416" i="2" a="1"/>
  <c r="AL1416" i="2" s="1"/>
  <c r="AL1417" i="2" a="1"/>
  <c r="AL1417" i="2" s="1"/>
  <c r="AL1418" i="2" a="1"/>
  <c r="AL1418" i="2" s="1"/>
  <c r="AL1419" i="2" a="1"/>
  <c r="AL1419" i="2" s="1"/>
  <c r="AL1420" i="2" a="1"/>
  <c r="AL1420" i="2" s="1"/>
  <c r="AL1421" i="2" a="1"/>
  <c r="AL1421" i="2" s="1"/>
  <c r="AL1422" i="2" a="1"/>
  <c r="AL1422" i="2" s="1"/>
  <c r="AL1423" i="2" a="1"/>
  <c r="AL1423" i="2" s="1"/>
  <c r="AL1424" i="2" a="1"/>
  <c r="AL1424" i="2" s="1"/>
  <c r="AL1425" i="2" a="1"/>
  <c r="AL1425" i="2" s="1"/>
  <c r="AL1426" i="2" a="1"/>
  <c r="AL1426" i="2" s="1"/>
  <c r="AL1427" i="2" a="1"/>
  <c r="AL1427" i="2" s="1"/>
  <c r="AL1428" i="2" a="1"/>
  <c r="AL1428" i="2" s="1"/>
  <c r="AL1429" i="2" a="1"/>
  <c r="AL1429" i="2" s="1"/>
  <c r="AL1430" i="2" a="1"/>
  <c r="AL1430" i="2" s="1"/>
  <c r="AL1431" i="2" a="1"/>
  <c r="AL1431" i="2" s="1"/>
  <c r="AL1432" i="2" a="1"/>
  <c r="AL1432" i="2" s="1"/>
  <c r="AL1433" i="2" a="1"/>
  <c r="AL1433" i="2" s="1"/>
  <c r="AL1434" i="2" a="1"/>
  <c r="AL1434" i="2" s="1"/>
  <c r="AL1435" i="2" a="1"/>
  <c r="AL1435" i="2" s="1"/>
  <c r="AL1436" i="2" a="1"/>
  <c r="AL1436" i="2" s="1"/>
  <c r="AL1437" i="2" a="1"/>
  <c r="AL1437" i="2" s="1"/>
  <c r="AL1438" i="2" a="1"/>
  <c r="AL1438" i="2" s="1"/>
  <c r="AL1439" i="2" a="1"/>
  <c r="AL1439" i="2" s="1"/>
  <c r="AL1440" i="2" a="1"/>
  <c r="AL1440" i="2" s="1"/>
  <c r="AL1441" i="2" a="1"/>
  <c r="AL1441" i="2" s="1"/>
  <c r="AL1442" i="2" a="1"/>
  <c r="AL1442" i="2" s="1"/>
  <c r="AL1443" i="2" a="1"/>
  <c r="AL1443" i="2" s="1"/>
  <c r="AL1444" i="2" a="1"/>
  <c r="AL1444" i="2" s="1"/>
  <c r="AL1445" i="2" a="1"/>
  <c r="AL1445" i="2" s="1"/>
  <c r="AL1446" i="2" a="1"/>
  <c r="AL1446" i="2" s="1"/>
  <c r="AL1447" i="2" a="1"/>
  <c r="AL1447" i="2" s="1"/>
  <c r="AL1448" i="2" a="1"/>
  <c r="AL1448" i="2" s="1"/>
  <c r="AL1449" i="2" a="1"/>
  <c r="AL1449" i="2" s="1"/>
  <c r="AL1450" i="2" a="1"/>
  <c r="AL1450" i="2" s="1"/>
  <c r="AL1451" i="2" a="1"/>
  <c r="AL1451" i="2" s="1"/>
  <c r="AL1452" i="2" a="1"/>
  <c r="AL1452" i="2" s="1"/>
  <c r="AL1453" i="2" a="1"/>
  <c r="AL1453" i="2" s="1"/>
  <c r="AL1454" i="2" a="1"/>
  <c r="AL1454" i="2" s="1"/>
  <c r="AL1455" i="2" a="1"/>
  <c r="AL1455" i="2" s="1"/>
  <c r="AL1456" i="2" a="1"/>
  <c r="AL1456" i="2" s="1"/>
  <c r="AL1457" i="2" a="1"/>
  <c r="AL1457" i="2" s="1"/>
  <c r="AL1458" i="2" a="1"/>
  <c r="AL1458" i="2" s="1"/>
  <c r="AL1459" i="2" a="1"/>
  <c r="AL1459" i="2" s="1"/>
  <c r="AL1460" i="2" a="1"/>
  <c r="AL1460" i="2" s="1"/>
  <c r="AL1461" i="2" a="1"/>
  <c r="AL1461" i="2" s="1"/>
  <c r="AL1462" i="2" a="1"/>
  <c r="AL1462" i="2" s="1"/>
  <c r="AL1463" i="2" a="1"/>
  <c r="AL1463" i="2" s="1"/>
  <c r="AL1464" i="2" a="1"/>
  <c r="AL1464" i="2" s="1"/>
  <c r="AL1465" i="2" a="1"/>
  <c r="AL1465" i="2" s="1"/>
  <c r="AL1466" i="2" a="1"/>
  <c r="AL1466" i="2" s="1"/>
  <c r="AL1467" i="2" a="1"/>
  <c r="AL1467" i="2" s="1"/>
  <c r="AL1468" i="2" a="1"/>
  <c r="AL1468" i="2" s="1"/>
  <c r="AL1469" i="2" a="1"/>
  <c r="AL1469" i="2" s="1"/>
  <c r="AL1470" i="2" a="1"/>
  <c r="AL1470" i="2" s="1"/>
  <c r="AL1471" i="2" a="1"/>
  <c r="AL1471" i="2" s="1"/>
  <c r="AK2" i="2" a="1"/>
  <c r="AK2" i="2" s="1"/>
  <c r="AK3" i="2" a="1"/>
  <c r="AK3" i="2" s="1"/>
  <c r="AK4" i="2" a="1"/>
  <c r="AK4" i="2" s="1"/>
  <c r="AK5" i="2" a="1"/>
  <c r="AK5" i="2" s="1"/>
  <c r="AK6" i="2" a="1"/>
  <c r="AK6" i="2" s="1"/>
  <c r="AK7" i="2" a="1"/>
  <c r="AK7" i="2" s="1"/>
  <c r="AK8" i="2" a="1"/>
  <c r="AK8" i="2" s="1"/>
  <c r="AK9" i="2" a="1"/>
  <c r="AK9" i="2" s="1"/>
  <c r="AK10" i="2" a="1"/>
  <c r="AK10" i="2" s="1"/>
  <c r="AK11" i="2" a="1"/>
  <c r="AK11" i="2" s="1"/>
  <c r="AK12" i="2" a="1"/>
  <c r="AK12" i="2" s="1"/>
  <c r="AK13" i="2" a="1"/>
  <c r="AK13" i="2" s="1"/>
  <c r="AK14" i="2" a="1"/>
  <c r="AK14" i="2" s="1"/>
  <c r="AK15" i="2" a="1"/>
  <c r="AK15" i="2" s="1"/>
  <c r="AK16" i="2" a="1"/>
  <c r="AK16" i="2" s="1"/>
  <c r="AK17" i="2" a="1"/>
  <c r="AK17" i="2" s="1"/>
  <c r="AK18" i="2" a="1"/>
  <c r="AK18" i="2" s="1"/>
  <c r="AK19" i="2" a="1"/>
  <c r="AK19" i="2" s="1"/>
  <c r="AK20" i="2" a="1"/>
  <c r="AK20" i="2" s="1"/>
  <c r="AK21" i="2" a="1"/>
  <c r="AK21" i="2" s="1"/>
  <c r="AK22" i="2" a="1"/>
  <c r="AK22" i="2" s="1"/>
  <c r="AK23" i="2" a="1"/>
  <c r="AK23" i="2" s="1"/>
  <c r="AK24" i="2" a="1"/>
  <c r="AK24" i="2" s="1"/>
  <c r="AK25" i="2" a="1"/>
  <c r="AK25" i="2" s="1"/>
  <c r="AK26" i="2" a="1"/>
  <c r="AK26" i="2" s="1"/>
  <c r="AK27" i="2" a="1"/>
  <c r="AK27" i="2" s="1"/>
  <c r="AK28" i="2" a="1"/>
  <c r="AK28" i="2" s="1"/>
  <c r="AK29" i="2" a="1"/>
  <c r="AK29" i="2" s="1"/>
  <c r="AK30" i="2" a="1"/>
  <c r="AK30" i="2" s="1"/>
  <c r="AK31" i="2" a="1"/>
  <c r="AK31" i="2" s="1"/>
  <c r="AK32" i="2" a="1"/>
  <c r="AK32" i="2" s="1"/>
  <c r="AK33" i="2" a="1"/>
  <c r="AK33" i="2" s="1"/>
  <c r="AK34" i="2" a="1"/>
  <c r="AK34" i="2" s="1"/>
  <c r="AK35" i="2" a="1"/>
  <c r="AK35" i="2" s="1"/>
  <c r="AK36" i="2" a="1"/>
  <c r="AK36" i="2" s="1"/>
  <c r="AK37" i="2" a="1"/>
  <c r="AK37" i="2" s="1"/>
  <c r="AK38" i="2" a="1"/>
  <c r="AK38" i="2" s="1"/>
  <c r="AK39" i="2" a="1"/>
  <c r="AK39" i="2" s="1"/>
  <c r="AK40" i="2" a="1"/>
  <c r="AK40" i="2" s="1"/>
  <c r="AK41" i="2" a="1"/>
  <c r="AK41" i="2" s="1"/>
  <c r="AK42" i="2" a="1"/>
  <c r="AK42" i="2" s="1"/>
  <c r="AK43" i="2" a="1"/>
  <c r="AK43" i="2" s="1"/>
  <c r="AK44" i="2" a="1"/>
  <c r="AK44" i="2" s="1"/>
  <c r="AK45" i="2" a="1"/>
  <c r="AK45" i="2" s="1"/>
  <c r="AK46" i="2" a="1"/>
  <c r="AK46" i="2" s="1"/>
  <c r="AK47" i="2" a="1"/>
  <c r="AK47" i="2" s="1"/>
  <c r="AK48" i="2" a="1"/>
  <c r="AK48" i="2" s="1"/>
  <c r="AK49" i="2" a="1"/>
  <c r="AK49" i="2" s="1"/>
  <c r="AK50" i="2" a="1"/>
  <c r="AK50" i="2" s="1"/>
  <c r="AK51" i="2" a="1"/>
  <c r="AK51" i="2" s="1"/>
  <c r="AK52" i="2" a="1"/>
  <c r="AK52" i="2" s="1"/>
  <c r="AK53" i="2" a="1"/>
  <c r="AK53" i="2" s="1"/>
  <c r="AK54" i="2" a="1"/>
  <c r="AK54" i="2" s="1"/>
  <c r="AK55" i="2" a="1"/>
  <c r="AK55" i="2" s="1"/>
  <c r="AK56" i="2" a="1"/>
  <c r="AK56" i="2" s="1"/>
  <c r="AK57" i="2" a="1"/>
  <c r="AK57" i="2" s="1"/>
  <c r="AK58" i="2" a="1"/>
  <c r="AK58" i="2" s="1"/>
  <c r="AK59" i="2" a="1"/>
  <c r="AK59" i="2" s="1"/>
  <c r="AK60" i="2" a="1"/>
  <c r="AK60" i="2" s="1"/>
  <c r="AK61" i="2" a="1"/>
  <c r="AK61" i="2" s="1"/>
  <c r="AK62" i="2" a="1"/>
  <c r="AK62" i="2" s="1"/>
  <c r="AK63" i="2" a="1"/>
  <c r="AK63" i="2" s="1"/>
  <c r="AK64" i="2" a="1"/>
  <c r="AK64" i="2" s="1"/>
  <c r="AK65" i="2" a="1"/>
  <c r="AK65" i="2" s="1"/>
  <c r="AK66" i="2" a="1"/>
  <c r="AK66" i="2" s="1"/>
  <c r="AK67" i="2" a="1"/>
  <c r="AK67" i="2" s="1"/>
  <c r="AK68" i="2" a="1"/>
  <c r="AK68" i="2" s="1"/>
  <c r="AK69" i="2" a="1"/>
  <c r="AK69" i="2" s="1"/>
  <c r="AK70" i="2" a="1"/>
  <c r="AK70" i="2" s="1"/>
  <c r="AK71" i="2" a="1"/>
  <c r="AK71" i="2" s="1"/>
  <c r="AK72" i="2" a="1"/>
  <c r="AK72" i="2" s="1"/>
  <c r="AK73" i="2" a="1"/>
  <c r="AK73" i="2" s="1"/>
  <c r="AK74" i="2" a="1"/>
  <c r="AK74" i="2" s="1"/>
  <c r="AK75" i="2" a="1"/>
  <c r="AK75" i="2" s="1"/>
  <c r="AK76" i="2" a="1"/>
  <c r="AK76" i="2" s="1"/>
  <c r="AK77" i="2" a="1"/>
  <c r="AK77" i="2" s="1"/>
  <c r="AK78" i="2" a="1"/>
  <c r="AK78" i="2" s="1"/>
  <c r="AK79" i="2" a="1"/>
  <c r="AK79" i="2" s="1"/>
  <c r="AK80" i="2" a="1"/>
  <c r="AK80" i="2" s="1"/>
  <c r="AK81" i="2" a="1"/>
  <c r="AK81" i="2" s="1"/>
  <c r="AK82" i="2" a="1"/>
  <c r="AK82" i="2" s="1"/>
  <c r="AK83" i="2" a="1"/>
  <c r="AK83" i="2" s="1"/>
  <c r="AK84" i="2" a="1"/>
  <c r="AK84" i="2" s="1"/>
  <c r="AK85" i="2" a="1"/>
  <c r="AK85" i="2" s="1"/>
  <c r="AK86" i="2" a="1"/>
  <c r="AK86" i="2" s="1"/>
  <c r="AK87" i="2" a="1"/>
  <c r="AK87" i="2" s="1"/>
  <c r="AK88" i="2" a="1"/>
  <c r="AK88" i="2" s="1"/>
  <c r="AK89" i="2" a="1"/>
  <c r="AK89" i="2" s="1"/>
  <c r="AK90" i="2" a="1"/>
  <c r="AK90" i="2" s="1"/>
  <c r="AK91" i="2" a="1"/>
  <c r="AK91" i="2" s="1"/>
  <c r="AK92" i="2" a="1"/>
  <c r="AK92" i="2" s="1"/>
  <c r="AK93" i="2" a="1"/>
  <c r="AK93" i="2" s="1"/>
  <c r="AK94" i="2" a="1"/>
  <c r="AK94" i="2" s="1"/>
  <c r="AK95" i="2" a="1"/>
  <c r="AK95" i="2" s="1"/>
  <c r="AK96" i="2" a="1"/>
  <c r="AK96" i="2" s="1"/>
  <c r="AK97" i="2" a="1"/>
  <c r="AK97" i="2" s="1"/>
  <c r="AK98" i="2" a="1"/>
  <c r="AK98" i="2" s="1"/>
  <c r="AK99" i="2" a="1"/>
  <c r="AK99" i="2" s="1"/>
  <c r="AK100" i="2" a="1"/>
  <c r="AK100" i="2" s="1"/>
  <c r="AK101" i="2" a="1"/>
  <c r="AK101" i="2" s="1"/>
  <c r="AK102" i="2" a="1"/>
  <c r="AK102" i="2" s="1"/>
  <c r="AK103" i="2" a="1"/>
  <c r="AK103" i="2" s="1"/>
  <c r="AK104" i="2" a="1"/>
  <c r="AK104" i="2" s="1"/>
  <c r="AK105" i="2" a="1"/>
  <c r="AK105" i="2" s="1"/>
  <c r="AK106" i="2" a="1"/>
  <c r="AK106" i="2" s="1"/>
  <c r="AK107" i="2" a="1"/>
  <c r="AK107" i="2" s="1"/>
  <c r="AK108" i="2" a="1"/>
  <c r="AK108" i="2" s="1"/>
  <c r="AK109" i="2" a="1"/>
  <c r="AK109" i="2" s="1"/>
  <c r="AK110" i="2" a="1"/>
  <c r="AK110" i="2" s="1"/>
  <c r="AK111" i="2" a="1"/>
  <c r="AK111" i="2" s="1"/>
  <c r="AK112" i="2" a="1"/>
  <c r="AK112" i="2" s="1"/>
  <c r="AK113" i="2" a="1"/>
  <c r="AK113" i="2" s="1"/>
  <c r="AK114" i="2" a="1"/>
  <c r="AK114" i="2" s="1"/>
  <c r="AK115" i="2" a="1"/>
  <c r="AK115" i="2" s="1"/>
  <c r="AK116" i="2" a="1"/>
  <c r="AK116" i="2" s="1"/>
  <c r="AK117" i="2" a="1"/>
  <c r="AK117" i="2" s="1"/>
  <c r="AK118" i="2" a="1"/>
  <c r="AK118" i="2" s="1"/>
  <c r="AK119" i="2" a="1"/>
  <c r="AK119" i="2" s="1"/>
  <c r="AK120" i="2" a="1"/>
  <c r="AK120" i="2" s="1"/>
  <c r="AK121" i="2" a="1"/>
  <c r="AK121" i="2" s="1"/>
  <c r="AK122" i="2" a="1"/>
  <c r="AK122" i="2" s="1"/>
  <c r="AK123" i="2" a="1"/>
  <c r="AK123" i="2" s="1"/>
  <c r="AK124" i="2" a="1"/>
  <c r="AK124" i="2" s="1"/>
  <c r="AK125" i="2" a="1"/>
  <c r="AK125" i="2" s="1"/>
  <c r="AK126" i="2" a="1"/>
  <c r="AK126" i="2" s="1"/>
  <c r="AK127" i="2" a="1"/>
  <c r="AK127" i="2" s="1"/>
  <c r="AK128" i="2" a="1"/>
  <c r="AK128" i="2" s="1"/>
  <c r="AK129" i="2" a="1"/>
  <c r="AK129" i="2" s="1"/>
  <c r="AK130" i="2" a="1"/>
  <c r="AK130" i="2" s="1"/>
  <c r="AK131" i="2" a="1"/>
  <c r="AK131" i="2" s="1"/>
  <c r="AK132" i="2" a="1"/>
  <c r="AK132" i="2" s="1"/>
  <c r="AK133" i="2" a="1"/>
  <c r="AK133" i="2" s="1"/>
  <c r="AK134" i="2" a="1"/>
  <c r="AK134" i="2" s="1"/>
  <c r="AK135" i="2" a="1"/>
  <c r="AK135" i="2" s="1"/>
  <c r="AK136" i="2" a="1"/>
  <c r="AK136" i="2" s="1"/>
  <c r="AK137" i="2" a="1"/>
  <c r="AK137" i="2" s="1"/>
  <c r="AK138" i="2" a="1"/>
  <c r="AK138" i="2" s="1"/>
  <c r="AK139" i="2" a="1"/>
  <c r="AK139" i="2" s="1"/>
  <c r="AK140" i="2" a="1"/>
  <c r="AK140" i="2" s="1"/>
  <c r="AK141" i="2" a="1"/>
  <c r="AK141" i="2" s="1"/>
  <c r="AK142" i="2" a="1"/>
  <c r="AK142" i="2" s="1"/>
  <c r="AK143" i="2" a="1"/>
  <c r="AK143" i="2" s="1"/>
  <c r="AK144" i="2" a="1"/>
  <c r="AK144" i="2" s="1"/>
  <c r="AK145" i="2" a="1"/>
  <c r="AK145" i="2" s="1"/>
  <c r="AK146" i="2" a="1"/>
  <c r="AK146" i="2" s="1"/>
  <c r="AK147" i="2" a="1"/>
  <c r="AK147" i="2" s="1"/>
  <c r="AK148" i="2" a="1"/>
  <c r="AK148" i="2" s="1"/>
  <c r="AK149" i="2" a="1"/>
  <c r="AK149" i="2" s="1"/>
  <c r="AK150" i="2" a="1"/>
  <c r="AK150" i="2" s="1"/>
  <c r="AK151" i="2" a="1"/>
  <c r="AK151" i="2" s="1"/>
  <c r="AK152" i="2" a="1"/>
  <c r="AK152" i="2" s="1"/>
  <c r="AK153" i="2" a="1"/>
  <c r="AK153" i="2" s="1"/>
  <c r="AK154" i="2" a="1"/>
  <c r="AK154" i="2" s="1"/>
  <c r="AK155" i="2" a="1"/>
  <c r="AK155" i="2" s="1"/>
  <c r="AK156" i="2" a="1"/>
  <c r="AK156" i="2" s="1"/>
  <c r="AK157" i="2" a="1"/>
  <c r="AK157" i="2" s="1"/>
  <c r="AK158" i="2" a="1"/>
  <c r="AK158" i="2" s="1"/>
  <c r="AK159" i="2" a="1"/>
  <c r="AK159" i="2" s="1"/>
  <c r="AK160" i="2" a="1"/>
  <c r="AK160" i="2" s="1"/>
  <c r="AK161" i="2" a="1"/>
  <c r="AK161" i="2" s="1"/>
  <c r="AK162" i="2" a="1"/>
  <c r="AK162" i="2" s="1"/>
  <c r="AK163" i="2" a="1"/>
  <c r="AK163" i="2" s="1"/>
  <c r="AK164" i="2" a="1"/>
  <c r="AK164" i="2" s="1"/>
  <c r="AK165" i="2" a="1"/>
  <c r="AK165" i="2" s="1"/>
  <c r="AK166" i="2" a="1"/>
  <c r="AK166" i="2" s="1"/>
  <c r="AK167" i="2" a="1"/>
  <c r="AK167" i="2" s="1"/>
  <c r="AK168" i="2" a="1"/>
  <c r="AK168" i="2" s="1"/>
  <c r="AK169" i="2" a="1"/>
  <c r="AK169" i="2" s="1"/>
  <c r="AK170" i="2" a="1"/>
  <c r="AK170" i="2" s="1"/>
  <c r="AK171" i="2" a="1"/>
  <c r="AK171" i="2" s="1"/>
  <c r="AK172" i="2" a="1"/>
  <c r="AK172" i="2" s="1"/>
  <c r="AK173" i="2" a="1"/>
  <c r="AK173" i="2" s="1"/>
  <c r="AK174" i="2" a="1"/>
  <c r="AK174" i="2" s="1"/>
  <c r="AK175" i="2" a="1"/>
  <c r="AK175" i="2" s="1"/>
  <c r="AK176" i="2" a="1"/>
  <c r="AK176" i="2" s="1"/>
  <c r="AK177" i="2" a="1"/>
  <c r="AK177" i="2" s="1"/>
  <c r="AK178" i="2" a="1"/>
  <c r="AK178" i="2" s="1"/>
  <c r="AK179" i="2" a="1"/>
  <c r="AK179" i="2" s="1"/>
  <c r="AK180" i="2" a="1"/>
  <c r="AK180" i="2" s="1"/>
  <c r="AK181" i="2" a="1"/>
  <c r="AK181" i="2" s="1"/>
  <c r="AK182" i="2" a="1"/>
  <c r="AK182" i="2" s="1"/>
  <c r="AK183" i="2" a="1"/>
  <c r="AK183" i="2" s="1"/>
  <c r="AK184" i="2" a="1"/>
  <c r="AK184" i="2" s="1"/>
  <c r="AK185" i="2" a="1"/>
  <c r="AK185" i="2" s="1"/>
  <c r="AK186" i="2" a="1"/>
  <c r="AK186" i="2" s="1"/>
  <c r="AK187" i="2" a="1"/>
  <c r="AK187" i="2" s="1"/>
  <c r="AK188" i="2" a="1"/>
  <c r="AK188" i="2" s="1"/>
  <c r="AK189" i="2" a="1"/>
  <c r="AK189" i="2" s="1"/>
  <c r="AK190" i="2" a="1"/>
  <c r="AK190" i="2" s="1"/>
  <c r="AK191" i="2" a="1"/>
  <c r="AK191" i="2" s="1"/>
  <c r="AK192" i="2" a="1"/>
  <c r="AK192" i="2" s="1"/>
  <c r="AK193" i="2" a="1"/>
  <c r="AK193" i="2" s="1"/>
  <c r="AK194" i="2" a="1"/>
  <c r="AK194" i="2" s="1"/>
  <c r="AK195" i="2" a="1"/>
  <c r="AK195" i="2" s="1"/>
  <c r="AK196" i="2" a="1"/>
  <c r="AK196" i="2" s="1"/>
  <c r="AK197" i="2" a="1"/>
  <c r="AK197" i="2" s="1"/>
  <c r="AK198" i="2" a="1"/>
  <c r="AK198" i="2" s="1"/>
  <c r="AK199" i="2" a="1"/>
  <c r="AK199" i="2" s="1"/>
  <c r="AK200" i="2" a="1"/>
  <c r="AK200" i="2" s="1"/>
  <c r="AK201" i="2" a="1"/>
  <c r="AK201" i="2" s="1"/>
  <c r="AK202" i="2" a="1"/>
  <c r="AK202" i="2" s="1"/>
  <c r="AK203" i="2" a="1"/>
  <c r="AK203" i="2" s="1"/>
  <c r="AK204" i="2" a="1"/>
  <c r="AK204" i="2" s="1"/>
  <c r="AK205" i="2" a="1"/>
  <c r="AK205" i="2" s="1"/>
  <c r="AK206" i="2" a="1"/>
  <c r="AK206" i="2" s="1"/>
  <c r="AK207" i="2" a="1"/>
  <c r="AK207" i="2" s="1"/>
  <c r="AK208" i="2" a="1"/>
  <c r="AK208" i="2" s="1"/>
  <c r="AK209" i="2" a="1"/>
  <c r="AK209" i="2" s="1"/>
  <c r="AK210" i="2" a="1"/>
  <c r="AK210" i="2" s="1"/>
  <c r="AK211" i="2" a="1"/>
  <c r="AK211" i="2" s="1"/>
  <c r="AK212" i="2" a="1"/>
  <c r="AK212" i="2" s="1"/>
  <c r="AK213" i="2" a="1"/>
  <c r="AK213" i="2" s="1"/>
  <c r="AK214" i="2" a="1"/>
  <c r="AK214" i="2" s="1"/>
  <c r="AK215" i="2" a="1"/>
  <c r="AK215" i="2" s="1"/>
  <c r="AK216" i="2" a="1"/>
  <c r="AK216" i="2" s="1"/>
  <c r="AK217" i="2" a="1"/>
  <c r="AK217" i="2" s="1"/>
  <c r="AK218" i="2" a="1"/>
  <c r="AK218" i="2" s="1"/>
  <c r="AK219" i="2" a="1"/>
  <c r="AK219" i="2" s="1"/>
  <c r="AK220" i="2" a="1"/>
  <c r="AK220" i="2" s="1"/>
  <c r="AK221" i="2" a="1"/>
  <c r="AK221" i="2" s="1"/>
  <c r="AK222" i="2" a="1"/>
  <c r="AK222" i="2" s="1"/>
  <c r="AK223" i="2" a="1"/>
  <c r="AK223" i="2" s="1"/>
  <c r="AK224" i="2" a="1"/>
  <c r="AK224" i="2" s="1"/>
  <c r="AK225" i="2" a="1"/>
  <c r="AK225" i="2" s="1"/>
  <c r="AK226" i="2" a="1"/>
  <c r="AK226" i="2" s="1"/>
  <c r="AK227" i="2" a="1"/>
  <c r="AK227" i="2" s="1"/>
  <c r="AK228" i="2" a="1"/>
  <c r="AK228" i="2" s="1"/>
  <c r="AK229" i="2" a="1"/>
  <c r="AK229" i="2" s="1"/>
  <c r="AK230" i="2" a="1"/>
  <c r="AK230" i="2" s="1"/>
  <c r="AK231" i="2" a="1"/>
  <c r="AK231" i="2" s="1"/>
  <c r="AK232" i="2" a="1"/>
  <c r="AK232" i="2" s="1"/>
  <c r="AK233" i="2" a="1"/>
  <c r="AK233" i="2" s="1"/>
  <c r="AK234" i="2" a="1"/>
  <c r="AK234" i="2" s="1"/>
  <c r="AK235" i="2" a="1"/>
  <c r="AK235" i="2" s="1"/>
  <c r="AK236" i="2" a="1"/>
  <c r="AK236" i="2" s="1"/>
  <c r="AK237" i="2" a="1"/>
  <c r="AK237" i="2" s="1"/>
  <c r="AK238" i="2" a="1"/>
  <c r="AK238" i="2" s="1"/>
  <c r="AK239" i="2" a="1"/>
  <c r="AK239" i="2" s="1"/>
  <c r="AK240" i="2" a="1"/>
  <c r="AK240" i="2" s="1"/>
  <c r="AK241" i="2" a="1"/>
  <c r="AK241" i="2" s="1"/>
  <c r="AK242" i="2" a="1"/>
  <c r="AK242" i="2" s="1"/>
  <c r="AK243" i="2" a="1"/>
  <c r="AK243" i="2" s="1"/>
  <c r="AK244" i="2" a="1"/>
  <c r="AK244" i="2" s="1"/>
  <c r="AK245" i="2" a="1"/>
  <c r="AK245" i="2" s="1"/>
  <c r="AK246" i="2" a="1"/>
  <c r="AK246" i="2" s="1"/>
  <c r="AK247" i="2" a="1"/>
  <c r="AK247" i="2" s="1"/>
  <c r="AK248" i="2" a="1"/>
  <c r="AK248" i="2" s="1"/>
  <c r="AK249" i="2" a="1"/>
  <c r="AK249" i="2" s="1"/>
  <c r="AK250" i="2" a="1"/>
  <c r="AK250" i="2" s="1"/>
  <c r="AK251" i="2" a="1"/>
  <c r="AK251" i="2" s="1"/>
  <c r="AK252" i="2" a="1"/>
  <c r="AK252" i="2" s="1"/>
  <c r="AK253" i="2" a="1"/>
  <c r="AK253" i="2" s="1"/>
  <c r="AK254" i="2" a="1"/>
  <c r="AK254" i="2" s="1"/>
  <c r="AK255" i="2" a="1"/>
  <c r="AK255" i="2" s="1"/>
  <c r="AK256" i="2" a="1"/>
  <c r="AK256" i="2" s="1"/>
  <c r="AK257" i="2" a="1"/>
  <c r="AK257" i="2" s="1"/>
  <c r="AK258" i="2" a="1"/>
  <c r="AK258" i="2" s="1"/>
  <c r="AK259" i="2" a="1"/>
  <c r="AK259" i="2" s="1"/>
  <c r="AK260" i="2" a="1"/>
  <c r="AK260" i="2" s="1"/>
  <c r="AK261" i="2" a="1"/>
  <c r="AK261" i="2" s="1"/>
  <c r="AK262" i="2" a="1"/>
  <c r="AK262" i="2" s="1"/>
  <c r="AK263" i="2" a="1"/>
  <c r="AK263" i="2" s="1"/>
  <c r="AK264" i="2" a="1"/>
  <c r="AK264" i="2" s="1"/>
  <c r="AK265" i="2" a="1"/>
  <c r="AK265" i="2" s="1"/>
  <c r="AK266" i="2" a="1"/>
  <c r="AK266" i="2" s="1"/>
  <c r="AK267" i="2" a="1"/>
  <c r="AK267" i="2" s="1"/>
  <c r="AK268" i="2" a="1"/>
  <c r="AK268" i="2" s="1"/>
  <c r="AK269" i="2" a="1"/>
  <c r="AK269" i="2" s="1"/>
  <c r="AK270" i="2" a="1"/>
  <c r="AK270" i="2" s="1"/>
  <c r="AK271" i="2" a="1"/>
  <c r="AK271" i="2" s="1"/>
  <c r="AK272" i="2" a="1"/>
  <c r="AK272" i="2" s="1"/>
  <c r="AK273" i="2" a="1"/>
  <c r="AK273" i="2" s="1"/>
  <c r="AK274" i="2" a="1"/>
  <c r="AK274" i="2" s="1"/>
  <c r="AK275" i="2" a="1"/>
  <c r="AK275" i="2" s="1"/>
  <c r="AK276" i="2" a="1"/>
  <c r="AK276" i="2" s="1"/>
  <c r="AK277" i="2" a="1"/>
  <c r="AK277" i="2" s="1"/>
  <c r="AK278" i="2" a="1"/>
  <c r="AK278" i="2" s="1"/>
  <c r="AK279" i="2" a="1"/>
  <c r="AK279" i="2" s="1"/>
  <c r="AK280" i="2" a="1"/>
  <c r="AK280" i="2" s="1"/>
  <c r="AK281" i="2" a="1"/>
  <c r="AK281" i="2" s="1"/>
  <c r="AK282" i="2" a="1"/>
  <c r="AK282" i="2" s="1"/>
  <c r="AK283" i="2" a="1"/>
  <c r="AK283" i="2" s="1"/>
  <c r="AK284" i="2" a="1"/>
  <c r="AK284" i="2" s="1"/>
  <c r="AK285" i="2" a="1"/>
  <c r="AK285" i="2" s="1"/>
  <c r="AK286" i="2" a="1"/>
  <c r="AK286" i="2" s="1"/>
  <c r="AK287" i="2" a="1"/>
  <c r="AK287" i="2" s="1"/>
  <c r="AK288" i="2" a="1"/>
  <c r="AK288" i="2" s="1"/>
  <c r="AK289" i="2" a="1"/>
  <c r="AK289" i="2" s="1"/>
  <c r="AK290" i="2" a="1"/>
  <c r="AK290" i="2" s="1"/>
  <c r="AK291" i="2" a="1"/>
  <c r="AK291" i="2" s="1"/>
  <c r="AK292" i="2" a="1"/>
  <c r="AK292" i="2" s="1"/>
  <c r="AK293" i="2" a="1"/>
  <c r="AK293" i="2" s="1"/>
  <c r="AK294" i="2" a="1"/>
  <c r="AK294" i="2" s="1"/>
  <c r="AK295" i="2" a="1"/>
  <c r="AK295" i="2" s="1"/>
  <c r="AK296" i="2" a="1"/>
  <c r="AK296" i="2" s="1"/>
  <c r="AK297" i="2" a="1"/>
  <c r="AK297" i="2" s="1"/>
  <c r="AK298" i="2" a="1"/>
  <c r="AK298" i="2" s="1"/>
  <c r="AK299" i="2" a="1"/>
  <c r="AK299" i="2" s="1"/>
  <c r="AK300" i="2" a="1"/>
  <c r="AK300" i="2" s="1"/>
  <c r="AK301" i="2" a="1"/>
  <c r="AK301" i="2" s="1"/>
  <c r="AK302" i="2" a="1"/>
  <c r="AK302" i="2" s="1"/>
  <c r="AK303" i="2" a="1"/>
  <c r="AK303" i="2" s="1"/>
  <c r="AK304" i="2" a="1"/>
  <c r="AK304" i="2" s="1"/>
  <c r="AK305" i="2" a="1"/>
  <c r="AK305" i="2" s="1"/>
  <c r="AK306" i="2" a="1"/>
  <c r="AK306" i="2" s="1"/>
  <c r="AK307" i="2" a="1"/>
  <c r="AK307" i="2" s="1"/>
  <c r="AK308" i="2" a="1"/>
  <c r="AK308" i="2" s="1"/>
  <c r="AK309" i="2" a="1"/>
  <c r="AK309" i="2" s="1"/>
  <c r="AK310" i="2" a="1"/>
  <c r="AK310" i="2" s="1"/>
  <c r="AK311" i="2" a="1"/>
  <c r="AK311" i="2" s="1"/>
  <c r="AK312" i="2" a="1"/>
  <c r="AK312" i="2" s="1"/>
  <c r="AK313" i="2" a="1"/>
  <c r="AK313" i="2" s="1"/>
  <c r="AK314" i="2" a="1"/>
  <c r="AK314" i="2" s="1"/>
  <c r="AK315" i="2" a="1"/>
  <c r="AK315" i="2" s="1"/>
  <c r="AK316" i="2" a="1"/>
  <c r="AK316" i="2" s="1"/>
  <c r="AK317" i="2" a="1"/>
  <c r="AK317" i="2" s="1"/>
  <c r="AK318" i="2" a="1"/>
  <c r="AK318" i="2" s="1"/>
  <c r="AK319" i="2" a="1"/>
  <c r="AK319" i="2" s="1"/>
  <c r="AK320" i="2" a="1"/>
  <c r="AK320" i="2" s="1"/>
  <c r="AK321" i="2" a="1"/>
  <c r="AK321" i="2" s="1"/>
  <c r="AK322" i="2" a="1"/>
  <c r="AK322" i="2" s="1"/>
  <c r="AK323" i="2" a="1"/>
  <c r="AK323" i="2" s="1"/>
  <c r="AK324" i="2" a="1"/>
  <c r="AK324" i="2" s="1"/>
  <c r="AK325" i="2" a="1"/>
  <c r="AK325" i="2" s="1"/>
  <c r="AK326" i="2" a="1"/>
  <c r="AK326" i="2" s="1"/>
  <c r="AK327" i="2" a="1"/>
  <c r="AK327" i="2" s="1"/>
  <c r="AK328" i="2" a="1"/>
  <c r="AK328" i="2" s="1"/>
  <c r="AK329" i="2" a="1"/>
  <c r="AK329" i="2" s="1"/>
  <c r="AK330" i="2" a="1"/>
  <c r="AK330" i="2" s="1"/>
  <c r="AK331" i="2" a="1"/>
  <c r="AK331" i="2" s="1"/>
  <c r="AK332" i="2" a="1"/>
  <c r="AK332" i="2" s="1"/>
  <c r="AK333" i="2" a="1"/>
  <c r="AK333" i="2" s="1"/>
  <c r="AK334" i="2" a="1"/>
  <c r="AK334" i="2" s="1"/>
  <c r="AK335" i="2" a="1"/>
  <c r="AK335" i="2" s="1"/>
  <c r="AK336" i="2" a="1"/>
  <c r="AK336" i="2" s="1"/>
  <c r="AK337" i="2" a="1"/>
  <c r="AK337" i="2" s="1"/>
  <c r="AK338" i="2" a="1"/>
  <c r="AK338" i="2" s="1"/>
  <c r="AK339" i="2" a="1"/>
  <c r="AK339" i="2" s="1"/>
  <c r="AK340" i="2" a="1"/>
  <c r="AK340" i="2" s="1"/>
  <c r="AK341" i="2" a="1"/>
  <c r="AK341" i="2" s="1"/>
  <c r="AK342" i="2" a="1"/>
  <c r="AK342" i="2" s="1"/>
  <c r="AK343" i="2" a="1"/>
  <c r="AK343" i="2" s="1"/>
  <c r="AK344" i="2" a="1"/>
  <c r="AK344" i="2" s="1"/>
  <c r="AK345" i="2" a="1"/>
  <c r="AK345" i="2" s="1"/>
  <c r="AK346" i="2" a="1"/>
  <c r="AK346" i="2" s="1"/>
  <c r="AK347" i="2" a="1"/>
  <c r="AK347" i="2" s="1"/>
  <c r="AK348" i="2" a="1"/>
  <c r="AK348" i="2" s="1"/>
  <c r="AK349" i="2" a="1"/>
  <c r="AK349" i="2" s="1"/>
  <c r="AK350" i="2" a="1"/>
  <c r="AK350" i="2" s="1"/>
  <c r="AK351" i="2" a="1"/>
  <c r="AK351" i="2" s="1"/>
  <c r="AK352" i="2" a="1"/>
  <c r="AK352" i="2" s="1"/>
  <c r="AK353" i="2" a="1"/>
  <c r="AK353" i="2" s="1"/>
  <c r="AK354" i="2" a="1"/>
  <c r="AK354" i="2" s="1"/>
  <c r="AK355" i="2" a="1"/>
  <c r="AK355" i="2" s="1"/>
  <c r="AK356" i="2" a="1"/>
  <c r="AK356" i="2" s="1"/>
  <c r="AK357" i="2" a="1"/>
  <c r="AK357" i="2" s="1"/>
  <c r="AK358" i="2" a="1"/>
  <c r="AK358" i="2" s="1"/>
  <c r="AK359" i="2" a="1"/>
  <c r="AK359" i="2" s="1"/>
  <c r="AK360" i="2" a="1"/>
  <c r="AK360" i="2" s="1"/>
  <c r="AK361" i="2" a="1"/>
  <c r="AK361" i="2" s="1"/>
  <c r="AK362" i="2" a="1"/>
  <c r="AK362" i="2" s="1"/>
  <c r="AK363" i="2" a="1"/>
  <c r="AK363" i="2" s="1"/>
  <c r="AK364" i="2" a="1"/>
  <c r="AK364" i="2" s="1"/>
  <c r="AK365" i="2" a="1"/>
  <c r="AK365" i="2" s="1"/>
  <c r="AK366" i="2" a="1"/>
  <c r="AK366" i="2" s="1"/>
  <c r="AK367" i="2" a="1"/>
  <c r="AK367" i="2" s="1"/>
  <c r="AK368" i="2" a="1"/>
  <c r="AK368" i="2" s="1"/>
  <c r="AK369" i="2" a="1"/>
  <c r="AK369" i="2" s="1"/>
  <c r="AK370" i="2" a="1"/>
  <c r="AK370" i="2" s="1"/>
  <c r="AK371" i="2" a="1"/>
  <c r="AK371" i="2" s="1"/>
  <c r="AK372" i="2" a="1"/>
  <c r="AK372" i="2" s="1"/>
  <c r="AK373" i="2" a="1"/>
  <c r="AK373" i="2" s="1"/>
  <c r="AK374" i="2" a="1"/>
  <c r="AK374" i="2" s="1"/>
  <c r="AK375" i="2" a="1"/>
  <c r="AK375" i="2" s="1"/>
  <c r="AK376" i="2" a="1"/>
  <c r="AK376" i="2" s="1"/>
  <c r="AK377" i="2" a="1"/>
  <c r="AK377" i="2" s="1"/>
  <c r="AK378" i="2" a="1"/>
  <c r="AK378" i="2" s="1"/>
  <c r="AK379" i="2" a="1"/>
  <c r="AK379" i="2" s="1"/>
  <c r="AK380" i="2" a="1"/>
  <c r="AK380" i="2" s="1"/>
  <c r="AK381" i="2" a="1"/>
  <c r="AK381" i="2" s="1"/>
  <c r="AK382" i="2" a="1"/>
  <c r="AK382" i="2" s="1"/>
  <c r="AK383" i="2" a="1"/>
  <c r="AK383" i="2" s="1"/>
  <c r="AK384" i="2" a="1"/>
  <c r="AK384" i="2" s="1"/>
  <c r="AK385" i="2" a="1"/>
  <c r="AK385" i="2" s="1"/>
  <c r="AK386" i="2" a="1"/>
  <c r="AK386" i="2" s="1"/>
  <c r="AK387" i="2" a="1"/>
  <c r="AK387" i="2" s="1"/>
  <c r="AK388" i="2" a="1"/>
  <c r="AK388" i="2" s="1"/>
  <c r="AK389" i="2" a="1"/>
  <c r="AK389" i="2" s="1"/>
  <c r="AK390" i="2" a="1"/>
  <c r="AK390" i="2" s="1"/>
  <c r="AK391" i="2" a="1"/>
  <c r="AK391" i="2" s="1"/>
  <c r="AK392" i="2" a="1"/>
  <c r="AK392" i="2" s="1"/>
  <c r="AK393" i="2" a="1"/>
  <c r="AK393" i="2" s="1"/>
  <c r="AK394" i="2" a="1"/>
  <c r="AK394" i="2" s="1"/>
  <c r="AK395" i="2" a="1"/>
  <c r="AK395" i="2" s="1"/>
  <c r="AK396" i="2" a="1"/>
  <c r="AK396" i="2" s="1"/>
  <c r="AK397" i="2" a="1"/>
  <c r="AK397" i="2" s="1"/>
  <c r="AK398" i="2" a="1"/>
  <c r="AK398" i="2" s="1"/>
  <c r="AK399" i="2" a="1"/>
  <c r="AK399" i="2" s="1"/>
  <c r="AK400" i="2" a="1"/>
  <c r="AK400" i="2" s="1"/>
  <c r="AK401" i="2" a="1"/>
  <c r="AK401" i="2" s="1"/>
  <c r="AK402" i="2" a="1"/>
  <c r="AK402" i="2" s="1"/>
  <c r="AK403" i="2" a="1"/>
  <c r="AK403" i="2" s="1"/>
  <c r="AK404" i="2" a="1"/>
  <c r="AK404" i="2" s="1"/>
  <c r="AK405" i="2" a="1"/>
  <c r="AK405" i="2" s="1"/>
  <c r="AK406" i="2" a="1"/>
  <c r="AK406" i="2" s="1"/>
  <c r="AK407" i="2" a="1"/>
  <c r="AK407" i="2" s="1"/>
  <c r="AK408" i="2" a="1"/>
  <c r="AK408" i="2" s="1"/>
  <c r="AK409" i="2" a="1"/>
  <c r="AK409" i="2" s="1"/>
  <c r="AK410" i="2" a="1"/>
  <c r="AK410" i="2" s="1"/>
  <c r="AK411" i="2" a="1"/>
  <c r="AK411" i="2" s="1"/>
  <c r="AK412" i="2" a="1"/>
  <c r="AK412" i="2" s="1"/>
  <c r="AK413" i="2" a="1"/>
  <c r="AK413" i="2" s="1"/>
  <c r="AK414" i="2" a="1"/>
  <c r="AK414" i="2" s="1"/>
  <c r="AK415" i="2" a="1"/>
  <c r="AK415" i="2" s="1"/>
  <c r="AK416" i="2" a="1"/>
  <c r="AK416" i="2" s="1"/>
  <c r="AK417" i="2" a="1"/>
  <c r="AK417" i="2" s="1"/>
  <c r="AK418" i="2" a="1"/>
  <c r="AK418" i="2" s="1"/>
  <c r="AK419" i="2" a="1"/>
  <c r="AK419" i="2" s="1"/>
  <c r="AK420" i="2" a="1"/>
  <c r="AK420" i="2" s="1"/>
  <c r="AK421" i="2" a="1"/>
  <c r="AK421" i="2" s="1"/>
  <c r="AK422" i="2" a="1"/>
  <c r="AK422" i="2" s="1"/>
  <c r="AK423" i="2" a="1"/>
  <c r="AK423" i="2" s="1"/>
  <c r="AK424" i="2" a="1"/>
  <c r="AK424" i="2" s="1"/>
  <c r="AK425" i="2" a="1"/>
  <c r="AK425" i="2" s="1"/>
  <c r="AK426" i="2" a="1"/>
  <c r="AK426" i="2" s="1"/>
  <c r="AK427" i="2" a="1"/>
  <c r="AK427" i="2" s="1"/>
  <c r="AK428" i="2" a="1"/>
  <c r="AK428" i="2" s="1"/>
  <c r="AK429" i="2" a="1"/>
  <c r="AK429" i="2" s="1"/>
  <c r="AK430" i="2" a="1"/>
  <c r="AK430" i="2" s="1"/>
  <c r="AK431" i="2" a="1"/>
  <c r="AK431" i="2" s="1"/>
  <c r="AK432" i="2" a="1"/>
  <c r="AK432" i="2" s="1"/>
  <c r="AK433" i="2" a="1"/>
  <c r="AK433" i="2" s="1"/>
  <c r="AK434" i="2" a="1"/>
  <c r="AK434" i="2" s="1"/>
  <c r="AK435" i="2" a="1"/>
  <c r="AK435" i="2" s="1"/>
  <c r="AK436" i="2" a="1"/>
  <c r="AK436" i="2" s="1"/>
  <c r="AK437" i="2" a="1"/>
  <c r="AK437" i="2" s="1"/>
  <c r="AK438" i="2" a="1"/>
  <c r="AK438" i="2" s="1"/>
  <c r="AK439" i="2" a="1"/>
  <c r="AK439" i="2" s="1"/>
  <c r="AK440" i="2" a="1"/>
  <c r="AK440" i="2" s="1"/>
  <c r="AK441" i="2" a="1"/>
  <c r="AK441" i="2" s="1"/>
  <c r="AK442" i="2" a="1"/>
  <c r="AK442" i="2" s="1"/>
  <c r="AK443" i="2" a="1"/>
  <c r="AK443" i="2" s="1"/>
  <c r="AK444" i="2" a="1"/>
  <c r="AK444" i="2" s="1"/>
  <c r="AK445" i="2" a="1"/>
  <c r="AK445" i="2" s="1"/>
  <c r="AK446" i="2" a="1"/>
  <c r="AK446" i="2" s="1"/>
  <c r="AK447" i="2" a="1"/>
  <c r="AK447" i="2" s="1"/>
  <c r="AK448" i="2" a="1"/>
  <c r="AK448" i="2" s="1"/>
  <c r="AK449" i="2" a="1"/>
  <c r="AK449" i="2" s="1"/>
  <c r="AK450" i="2" a="1"/>
  <c r="AK450" i="2" s="1"/>
  <c r="AK451" i="2" a="1"/>
  <c r="AK451" i="2" s="1"/>
  <c r="AK452" i="2" a="1"/>
  <c r="AK452" i="2" s="1"/>
  <c r="AK453" i="2" a="1"/>
  <c r="AK453" i="2" s="1"/>
  <c r="AK454" i="2" a="1"/>
  <c r="AK454" i="2" s="1"/>
  <c r="AK455" i="2" a="1"/>
  <c r="AK455" i="2" s="1"/>
  <c r="AK456" i="2" a="1"/>
  <c r="AK456" i="2" s="1"/>
  <c r="AK457" i="2" a="1"/>
  <c r="AK457" i="2" s="1"/>
  <c r="AK458" i="2" a="1"/>
  <c r="AK458" i="2" s="1"/>
  <c r="AK459" i="2" a="1"/>
  <c r="AK459" i="2" s="1"/>
  <c r="AK460" i="2" a="1"/>
  <c r="AK460" i="2" s="1"/>
  <c r="AK461" i="2" a="1"/>
  <c r="AK461" i="2" s="1"/>
  <c r="AK462" i="2" a="1"/>
  <c r="AK462" i="2" s="1"/>
  <c r="AK463" i="2" a="1"/>
  <c r="AK463" i="2" s="1"/>
  <c r="AK464" i="2" a="1"/>
  <c r="AK464" i="2" s="1"/>
  <c r="AK465" i="2" a="1"/>
  <c r="AK465" i="2" s="1"/>
  <c r="AK466" i="2" a="1"/>
  <c r="AK466" i="2" s="1"/>
  <c r="AK467" i="2" a="1"/>
  <c r="AK467" i="2" s="1"/>
  <c r="AK468" i="2" a="1"/>
  <c r="AK468" i="2" s="1"/>
  <c r="AK469" i="2" a="1"/>
  <c r="AK469" i="2" s="1"/>
  <c r="AK470" i="2" a="1"/>
  <c r="AK470" i="2" s="1"/>
  <c r="AK471" i="2" a="1"/>
  <c r="AK471" i="2" s="1"/>
  <c r="AK472" i="2" a="1"/>
  <c r="AK472" i="2" s="1"/>
  <c r="AK473" i="2" a="1"/>
  <c r="AK473" i="2" s="1"/>
  <c r="AK474" i="2" a="1"/>
  <c r="AK474" i="2" s="1"/>
  <c r="AK475" i="2" a="1"/>
  <c r="AK475" i="2" s="1"/>
  <c r="AK476" i="2" a="1"/>
  <c r="AK476" i="2" s="1"/>
  <c r="AK477" i="2" a="1"/>
  <c r="AK477" i="2" s="1"/>
  <c r="AK478" i="2" a="1"/>
  <c r="AK478" i="2" s="1"/>
  <c r="AK479" i="2" a="1"/>
  <c r="AK479" i="2" s="1"/>
  <c r="AK480" i="2" a="1"/>
  <c r="AK480" i="2" s="1"/>
  <c r="AK481" i="2" a="1"/>
  <c r="AK481" i="2" s="1"/>
  <c r="AK482" i="2" a="1"/>
  <c r="AK482" i="2" s="1"/>
  <c r="AK483" i="2" a="1"/>
  <c r="AK483" i="2" s="1"/>
  <c r="AK484" i="2" a="1"/>
  <c r="AK484" i="2" s="1"/>
  <c r="AK485" i="2" a="1"/>
  <c r="AK485" i="2" s="1"/>
  <c r="AK486" i="2" a="1"/>
  <c r="AK486" i="2" s="1"/>
  <c r="AK487" i="2" a="1"/>
  <c r="AK487" i="2" s="1"/>
  <c r="AK488" i="2" a="1"/>
  <c r="AK488" i="2" s="1"/>
  <c r="AK489" i="2" a="1"/>
  <c r="AK489" i="2" s="1"/>
  <c r="AK490" i="2" a="1"/>
  <c r="AK490" i="2" s="1"/>
  <c r="AK491" i="2" a="1"/>
  <c r="AK491" i="2" s="1"/>
  <c r="AK492" i="2" a="1"/>
  <c r="AK492" i="2" s="1"/>
  <c r="AK493" i="2" a="1"/>
  <c r="AK493" i="2" s="1"/>
  <c r="AK494" i="2" a="1"/>
  <c r="AK494" i="2" s="1"/>
  <c r="AK495" i="2" a="1"/>
  <c r="AK495" i="2" s="1"/>
  <c r="AK496" i="2" a="1"/>
  <c r="AK496" i="2" s="1"/>
  <c r="AK497" i="2" a="1"/>
  <c r="AK497" i="2" s="1"/>
  <c r="AK498" i="2" a="1"/>
  <c r="AK498" i="2" s="1"/>
  <c r="AK499" i="2" a="1"/>
  <c r="AK499" i="2" s="1"/>
  <c r="AK500" i="2" a="1"/>
  <c r="AK500" i="2" s="1"/>
  <c r="AK501" i="2" a="1"/>
  <c r="AK501" i="2" s="1"/>
  <c r="AK502" i="2" a="1"/>
  <c r="AK502" i="2" s="1"/>
  <c r="AK503" i="2" a="1"/>
  <c r="AK503" i="2" s="1"/>
  <c r="AK504" i="2" a="1"/>
  <c r="AK504" i="2" s="1"/>
  <c r="AK505" i="2" a="1"/>
  <c r="AK505" i="2" s="1"/>
  <c r="AK506" i="2" a="1"/>
  <c r="AK506" i="2" s="1"/>
  <c r="AK507" i="2" a="1"/>
  <c r="AK507" i="2" s="1"/>
  <c r="AK508" i="2" a="1"/>
  <c r="AK508" i="2" s="1"/>
  <c r="AK509" i="2" a="1"/>
  <c r="AK509" i="2" s="1"/>
  <c r="AK510" i="2" a="1"/>
  <c r="AK510" i="2" s="1"/>
  <c r="AK511" i="2" a="1"/>
  <c r="AK511" i="2" s="1"/>
  <c r="AK512" i="2" a="1"/>
  <c r="AK512" i="2" s="1"/>
  <c r="AK513" i="2" a="1"/>
  <c r="AK513" i="2" s="1"/>
  <c r="AK514" i="2" a="1"/>
  <c r="AK514" i="2" s="1"/>
  <c r="AK515" i="2" a="1"/>
  <c r="AK515" i="2" s="1"/>
  <c r="AK516" i="2" a="1"/>
  <c r="AK516" i="2" s="1"/>
  <c r="AK517" i="2" a="1"/>
  <c r="AK517" i="2" s="1"/>
  <c r="AK518" i="2" a="1"/>
  <c r="AK518" i="2" s="1"/>
  <c r="AK519" i="2" a="1"/>
  <c r="AK519" i="2" s="1"/>
  <c r="AK520" i="2" a="1"/>
  <c r="AK520" i="2" s="1"/>
  <c r="AK521" i="2" a="1"/>
  <c r="AK521" i="2" s="1"/>
  <c r="AK522" i="2" a="1"/>
  <c r="AK522" i="2" s="1"/>
  <c r="AK523" i="2" a="1"/>
  <c r="AK523" i="2" s="1"/>
  <c r="AK524" i="2" a="1"/>
  <c r="AK524" i="2" s="1"/>
  <c r="AK525" i="2" a="1"/>
  <c r="AK525" i="2" s="1"/>
  <c r="AK526" i="2" a="1"/>
  <c r="AK526" i="2" s="1"/>
  <c r="AK527" i="2" a="1"/>
  <c r="AK527" i="2" s="1"/>
  <c r="AK528" i="2" a="1"/>
  <c r="AK528" i="2" s="1"/>
  <c r="AK529" i="2" a="1"/>
  <c r="AK529" i="2" s="1"/>
  <c r="AK530" i="2" a="1"/>
  <c r="AK530" i="2" s="1"/>
  <c r="AK531" i="2" a="1"/>
  <c r="AK531" i="2" s="1"/>
  <c r="AK532" i="2" a="1"/>
  <c r="AK532" i="2" s="1"/>
  <c r="AK533" i="2" a="1"/>
  <c r="AK533" i="2" s="1"/>
  <c r="AK534" i="2" a="1"/>
  <c r="AK534" i="2" s="1"/>
  <c r="AK535" i="2" a="1"/>
  <c r="AK535" i="2" s="1"/>
  <c r="AK536" i="2" a="1"/>
  <c r="AK536" i="2" s="1"/>
  <c r="AK537" i="2" a="1"/>
  <c r="AK537" i="2" s="1"/>
  <c r="AK538" i="2" a="1"/>
  <c r="AK538" i="2" s="1"/>
  <c r="AK539" i="2" a="1"/>
  <c r="AK539" i="2" s="1"/>
  <c r="AK540" i="2" a="1"/>
  <c r="AK540" i="2" s="1"/>
  <c r="AK541" i="2" a="1"/>
  <c r="AK541" i="2" s="1"/>
  <c r="AK542" i="2" a="1"/>
  <c r="AK542" i="2" s="1"/>
  <c r="AK543" i="2" a="1"/>
  <c r="AK543" i="2" s="1"/>
  <c r="AK544" i="2" a="1"/>
  <c r="AK544" i="2" s="1"/>
  <c r="AK545" i="2" a="1"/>
  <c r="AK545" i="2" s="1"/>
  <c r="AK546" i="2" a="1"/>
  <c r="AK546" i="2" s="1"/>
  <c r="AK547" i="2" a="1"/>
  <c r="AK547" i="2" s="1"/>
  <c r="AK548" i="2" a="1"/>
  <c r="AK548" i="2" s="1"/>
  <c r="AK549" i="2" a="1"/>
  <c r="AK549" i="2" s="1"/>
  <c r="AK550" i="2" a="1"/>
  <c r="AK550" i="2" s="1"/>
  <c r="AK551" i="2" a="1"/>
  <c r="AK551" i="2" s="1"/>
  <c r="AK552" i="2" a="1"/>
  <c r="AK552" i="2" s="1"/>
  <c r="AK553" i="2" a="1"/>
  <c r="AK553" i="2" s="1"/>
  <c r="AK554" i="2" a="1"/>
  <c r="AK554" i="2" s="1"/>
  <c r="AK555" i="2" a="1"/>
  <c r="AK555" i="2" s="1"/>
  <c r="AK556" i="2" a="1"/>
  <c r="AK556" i="2" s="1"/>
  <c r="AK557" i="2" a="1"/>
  <c r="AK557" i="2" s="1"/>
  <c r="AK558" i="2" a="1"/>
  <c r="AK558" i="2" s="1"/>
  <c r="AK559" i="2" a="1"/>
  <c r="AK559" i="2" s="1"/>
  <c r="AK560" i="2" a="1"/>
  <c r="AK560" i="2" s="1"/>
  <c r="AK561" i="2" a="1"/>
  <c r="AK561" i="2" s="1"/>
  <c r="AK562" i="2" a="1"/>
  <c r="AK562" i="2" s="1"/>
  <c r="AK563" i="2" a="1"/>
  <c r="AK563" i="2" s="1"/>
  <c r="AK564" i="2" a="1"/>
  <c r="AK564" i="2" s="1"/>
  <c r="AK565" i="2" a="1"/>
  <c r="AK565" i="2" s="1"/>
  <c r="AK566" i="2" a="1"/>
  <c r="AK566" i="2" s="1"/>
  <c r="AK567" i="2" a="1"/>
  <c r="AK567" i="2" s="1"/>
  <c r="AK568" i="2" a="1"/>
  <c r="AK568" i="2" s="1"/>
  <c r="AK569" i="2" a="1"/>
  <c r="AK569" i="2" s="1"/>
  <c r="AK570" i="2" a="1"/>
  <c r="AK570" i="2" s="1"/>
  <c r="AK571" i="2" a="1"/>
  <c r="AK571" i="2" s="1"/>
  <c r="AK572" i="2" a="1"/>
  <c r="AK572" i="2" s="1"/>
  <c r="AK573" i="2" a="1"/>
  <c r="AK573" i="2" s="1"/>
  <c r="AK574" i="2" a="1"/>
  <c r="AK574" i="2" s="1"/>
  <c r="AK575" i="2" a="1"/>
  <c r="AK575" i="2" s="1"/>
  <c r="AK576" i="2" a="1"/>
  <c r="AK576" i="2" s="1"/>
  <c r="AK577" i="2" a="1"/>
  <c r="AK577" i="2" s="1"/>
  <c r="AK578" i="2" a="1"/>
  <c r="AK578" i="2" s="1"/>
  <c r="AK579" i="2" a="1"/>
  <c r="AK579" i="2" s="1"/>
  <c r="AK580" i="2" a="1"/>
  <c r="AK580" i="2" s="1"/>
  <c r="AK581" i="2" a="1"/>
  <c r="AK581" i="2" s="1"/>
  <c r="AK582" i="2" a="1"/>
  <c r="AK582" i="2" s="1"/>
  <c r="AK583" i="2" a="1"/>
  <c r="AK583" i="2" s="1"/>
  <c r="AK584" i="2" a="1"/>
  <c r="AK584" i="2" s="1"/>
  <c r="AK585" i="2" a="1"/>
  <c r="AK585" i="2" s="1"/>
  <c r="AK586" i="2" a="1"/>
  <c r="AK586" i="2" s="1"/>
  <c r="AK587" i="2" a="1"/>
  <c r="AK587" i="2" s="1"/>
  <c r="AK588" i="2" a="1"/>
  <c r="AK588" i="2" s="1"/>
  <c r="AK589" i="2" a="1"/>
  <c r="AK589" i="2" s="1"/>
  <c r="AK590" i="2" a="1"/>
  <c r="AK590" i="2" s="1"/>
  <c r="AK591" i="2" a="1"/>
  <c r="AK591" i="2" s="1"/>
  <c r="AK592" i="2" a="1"/>
  <c r="AK592" i="2" s="1"/>
  <c r="AK593" i="2" a="1"/>
  <c r="AK593" i="2" s="1"/>
  <c r="AK594" i="2" a="1"/>
  <c r="AK594" i="2" s="1"/>
  <c r="AK595" i="2" a="1"/>
  <c r="AK595" i="2" s="1"/>
  <c r="AK596" i="2" a="1"/>
  <c r="AK596" i="2" s="1"/>
  <c r="AK597" i="2" a="1"/>
  <c r="AK597" i="2" s="1"/>
  <c r="AK598" i="2" a="1"/>
  <c r="AK598" i="2" s="1"/>
  <c r="AK599" i="2" a="1"/>
  <c r="AK599" i="2" s="1"/>
  <c r="AK600" i="2" a="1"/>
  <c r="AK600" i="2" s="1"/>
  <c r="AK601" i="2" a="1"/>
  <c r="AK601" i="2" s="1"/>
  <c r="AK602" i="2" a="1"/>
  <c r="AK602" i="2" s="1"/>
  <c r="AK603" i="2" a="1"/>
  <c r="AK603" i="2" s="1"/>
  <c r="AK604" i="2" a="1"/>
  <c r="AK604" i="2" s="1"/>
  <c r="AK605" i="2" a="1"/>
  <c r="AK605" i="2" s="1"/>
  <c r="AK606" i="2" a="1"/>
  <c r="AK606" i="2" s="1"/>
  <c r="AK607" i="2" a="1"/>
  <c r="AK607" i="2" s="1"/>
  <c r="AK608" i="2" a="1"/>
  <c r="AK608" i="2" s="1"/>
  <c r="AK609" i="2" a="1"/>
  <c r="AK609" i="2" s="1"/>
  <c r="AK610" i="2" a="1"/>
  <c r="AK610" i="2" s="1"/>
  <c r="AK611" i="2" a="1"/>
  <c r="AK611" i="2" s="1"/>
  <c r="AK612" i="2" a="1"/>
  <c r="AK612" i="2" s="1"/>
  <c r="AK613" i="2" a="1"/>
  <c r="AK613" i="2" s="1"/>
  <c r="AK614" i="2" a="1"/>
  <c r="AK614" i="2" s="1"/>
  <c r="AK615" i="2" a="1"/>
  <c r="AK615" i="2" s="1"/>
  <c r="AK616" i="2" a="1"/>
  <c r="AK616" i="2" s="1"/>
  <c r="AK617" i="2" a="1"/>
  <c r="AK617" i="2" s="1"/>
  <c r="AK618" i="2" a="1"/>
  <c r="AK618" i="2" s="1"/>
  <c r="AK619" i="2" a="1"/>
  <c r="AK619" i="2" s="1"/>
  <c r="AK620" i="2" a="1"/>
  <c r="AK620" i="2" s="1"/>
  <c r="AK621" i="2" a="1"/>
  <c r="AK621" i="2" s="1"/>
  <c r="AK622" i="2" a="1"/>
  <c r="AK622" i="2" s="1"/>
  <c r="AK623" i="2" a="1"/>
  <c r="AK623" i="2" s="1"/>
  <c r="AK624" i="2" a="1"/>
  <c r="AK624" i="2" s="1"/>
  <c r="AK625" i="2" a="1"/>
  <c r="AK625" i="2" s="1"/>
  <c r="AK626" i="2" a="1"/>
  <c r="AK626" i="2" s="1"/>
  <c r="AK627" i="2" a="1"/>
  <c r="AK627" i="2" s="1"/>
  <c r="AK628" i="2" a="1"/>
  <c r="AK628" i="2" s="1"/>
  <c r="AK629" i="2" a="1"/>
  <c r="AK629" i="2" s="1"/>
  <c r="AK630" i="2" a="1"/>
  <c r="AK630" i="2" s="1"/>
  <c r="AK631" i="2" a="1"/>
  <c r="AK631" i="2" s="1"/>
  <c r="AK632" i="2" a="1"/>
  <c r="AK632" i="2" s="1"/>
  <c r="AK633" i="2" a="1"/>
  <c r="AK633" i="2" s="1"/>
  <c r="AK634" i="2" a="1"/>
  <c r="AK634" i="2" s="1"/>
  <c r="AK635" i="2" a="1"/>
  <c r="AK635" i="2" s="1"/>
  <c r="AK636" i="2" a="1"/>
  <c r="AK636" i="2" s="1"/>
  <c r="AK637" i="2" a="1"/>
  <c r="AK637" i="2" s="1"/>
  <c r="AK638" i="2" a="1"/>
  <c r="AK638" i="2" s="1"/>
  <c r="AK639" i="2" a="1"/>
  <c r="AK639" i="2" s="1"/>
  <c r="AK640" i="2" a="1"/>
  <c r="AK640" i="2" s="1"/>
  <c r="AK641" i="2" a="1"/>
  <c r="AK641" i="2" s="1"/>
  <c r="AK642" i="2" a="1"/>
  <c r="AK642" i="2" s="1"/>
  <c r="AK643" i="2" a="1"/>
  <c r="AK643" i="2" s="1"/>
  <c r="AK644" i="2" a="1"/>
  <c r="AK644" i="2" s="1"/>
  <c r="AK645" i="2" a="1"/>
  <c r="AK645" i="2" s="1"/>
  <c r="AK646" i="2" a="1"/>
  <c r="AK646" i="2" s="1"/>
  <c r="AK647" i="2" a="1"/>
  <c r="AK647" i="2" s="1"/>
  <c r="AK648" i="2" a="1"/>
  <c r="AK648" i="2" s="1"/>
  <c r="AK649" i="2" a="1"/>
  <c r="AK649" i="2" s="1"/>
  <c r="AK650" i="2" a="1"/>
  <c r="AK650" i="2" s="1"/>
  <c r="AK651" i="2" a="1"/>
  <c r="AK651" i="2" s="1"/>
  <c r="AK652" i="2" a="1"/>
  <c r="AK652" i="2" s="1"/>
  <c r="AK653" i="2" a="1"/>
  <c r="AK653" i="2" s="1"/>
  <c r="AK654" i="2" a="1"/>
  <c r="AK654" i="2" s="1"/>
  <c r="AK655" i="2" a="1"/>
  <c r="AK655" i="2" s="1"/>
  <c r="AK656" i="2" a="1"/>
  <c r="AK656" i="2" s="1"/>
  <c r="AK657" i="2" a="1"/>
  <c r="AK657" i="2" s="1"/>
  <c r="AK658" i="2" a="1"/>
  <c r="AK658" i="2" s="1"/>
  <c r="AK659" i="2" a="1"/>
  <c r="AK659" i="2" s="1"/>
  <c r="AK660" i="2" a="1"/>
  <c r="AK660" i="2" s="1"/>
  <c r="AK661" i="2" a="1"/>
  <c r="AK661" i="2" s="1"/>
  <c r="AK662" i="2" a="1"/>
  <c r="AK662" i="2" s="1"/>
  <c r="AK663" i="2" a="1"/>
  <c r="AK663" i="2" s="1"/>
  <c r="AK664" i="2" a="1"/>
  <c r="AK664" i="2" s="1"/>
  <c r="AK665" i="2" a="1"/>
  <c r="AK665" i="2" s="1"/>
  <c r="AK666" i="2" a="1"/>
  <c r="AK666" i="2" s="1"/>
  <c r="AK667" i="2" a="1"/>
  <c r="AK667" i="2" s="1"/>
  <c r="AK668" i="2" a="1"/>
  <c r="AK668" i="2" s="1"/>
  <c r="AK669" i="2" a="1"/>
  <c r="AK669" i="2" s="1"/>
  <c r="AK670" i="2" a="1"/>
  <c r="AK670" i="2" s="1"/>
  <c r="AK671" i="2" a="1"/>
  <c r="AK671" i="2" s="1"/>
  <c r="AK672" i="2" a="1"/>
  <c r="AK672" i="2" s="1"/>
  <c r="AK673" i="2" a="1"/>
  <c r="AK673" i="2" s="1"/>
  <c r="AK674" i="2" a="1"/>
  <c r="AK674" i="2" s="1"/>
  <c r="AK675" i="2" a="1"/>
  <c r="AK675" i="2" s="1"/>
  <c r="AK676" i="2" a="1"/>
  <c r="AK676" i="2" s="1"/>
  <c r="AK677" i="2" a="1"/>
  <c r="AK677" i="2" s="1"/>
  <c r="AK678" i="2" a="1"/>
  <c r="AK678" i="2" s="1"/>
  <c r="AK679" i="2" a="1"/>
  <c r="AK679" i="2" s="1"/>
  <c r="AK680" i="2" a="1"/>
  <c r="AK680" i="2" s="1"/>
  <c r="AK681" i="2" a="1"/>
  <c r="AK681" i="2" s="1"/>
  <c r="AK682" i="2" a="1"/>
  <c r="AK682" i="2" s="1"/>
  <c r="AK683" i="2" a="1"/>
  <c r="AK683" i="2" s="1"/>
  <c r="AK684" i="2" a="1"/>
  <c r="AK684" i="2" s="1"/>
  <c r="AK685" i="2" a="1"/>
  <c r="AK685" i="2" s="1"/>
  <c r="AK686" i="2" a="1"/>
  <c r="AK686" i="2" s="1"/>
  <c r="AK687" i="2" a="1"/>
  <c r="AK687" i="2" s="1"/>
  <c r="AK688" i="2" a="1"/>
  <c r="AK688" i="2" s="1"/>
  <c r="AK689" i="2" a="1"/>
  <c r="AK689" i="2" s="1"/>
  <c r="AK690" i="2" a="1"/>
  <c r="AK690" i="2" s="1"/>
  <c r="AK691" i="2" a="1"/>
  <c r="AK691" i="2" s="1"/>
  <c r="AK692" i="2" a="1"/>
  <c r="AK692" i="2" s="1"/>
  <c r="AK693" i="2" a="1"/>
  <c r="AK693" i="2" s="1"/>
  <c r="AK694" i="2" a="1"/>
  <c r="AK694" i="2" s="1"/>
  <c r="AK695" i="2" a="1"/>
  <c r="AK695" i="2" s="1"/>
  <c r="AK696" i="2" a="1"/>
  <c r="AK696" i="2" s="1"/>
  <c r="AK697" i="2" a="1"/>
  <c r="AK697" i="2" s="1"/>
  <c r="AK698" i="2" a="1"/>
  <c r="AK698" i="2" s="1"/>
  <c r="AK699" i="2" a="1"/>
  <c r="AK699" i="2" s="1"/>
  <c r="AK700" i="2" a="1"/>
  <c r="AK700" i="2" s="1"/>
  <c r="AK701" i="2" a="1"/>
  <c r="AK701" i="2" s="1"/>
  <c r="AK702" i="2" a="1"/>
  <c r="AK702" i="2" s="1"/>
  <c r="AK703" i="2" a="1"/>
  <c r="AK703" i="2" s="1"/>
  <c r="AK704" i="2" a="1"/>
  <c r="AK704" i="2" s="1"/>
  <c r="AK705" i="2" a="1"/>
  <c r="AK705" i="2" s="1"/>
  <c r="AK706" i="2" a="1"/>
  <c r="AK706" i="2" s="1"/>
  <c r="AK707" i="2" a="1"/>
  <c r="AK707" i="2" s="1"/>
  <c r="AK708" i="2" a="1"/>
  <c r="AK708" i="2" s="1"/>
  <c r="AK709" i="2" a="1"/>
  <c r="AK709" i="2" s="1"/>
  <c r="AK710" i="2" a="1"/>
  <c r="AK710" i="2" s="1"/>
  <c r="AK711" i="2" a="1"/>
  <c r="AK711" i="2" s="1"/>
  <c r="AK712" i="2" a="1"/>
  <c r="AK712" i="2" s="1"/>
  <c r="AK713" i="2" a="1"/>
  <c r="AK713" i="2" s="1"/>
  <c r="AK714" i="2" a="1"/>
  <c r="AK714" i="2" s="1"/>
  <c r="AK715" i="2" a="1"/>
  <c r="AK715" i="2" s="1"/>
  <c r="AK716" i="2" a="1"/>
  <c r="AK716" i="2" s="1"/>
  <c r="AK717" i="2" a="1"/>
  <c r="AK717" i="2" s="1"/>
  <c r="AK718" i="2" a="1"/>
  <c r="AK718" i="2" s="1"/>
  <c r="AK719" i="2" a="1"/>
  <c r="AK719" i="2" s="1"/>
  <c r="AK720" i="2" a="1"/>
  <c r="AK720" i="2" s="1"/>
  <c r="AK721" i="2" a="1"/>
  <c r="AK721" i="2" s="1"/>
  <c r="AK722" i="2" a="1"/>
  <c r="AK722" i="2" s="1"/>
  <c r="AK723" i="2" a="1"/>
  <c r="AK723" i="2" s="1"/>
  <c r="AK724" i="2" a="1"/>
  <c r="AK724" i="2" s="1"/>
  <c r="AK725" i="2" a="1"/>
  <c r="AK725" i="2" s="1"/>
  <c r="AK726" i="2" a="1"/>
  <c r="AK726" i="2" s="1"/>
  <c r="AK727" i="2" a="1"/>
  <c r="AK727" i="2" s="1"/>
  <c r="AK728" i="2" a="1"/>
  <c r="AK728" i="2" s="1"/>
  <c r="AK729" i="2" a="1"/>
  <c r="AK729" i="2" s="1"/>
  <c r="AK730" i="2" a="1"/>
  <c r="AK730" i="2" s="1"/>
  <c r="AK731" i="2" a="1"/>
  <c r="AK731" i="2" s="1"/>
  <c r="AK732" i="2" a="1"/>
  <c r="AK732" i="2" s="1"/>
  <c r="AK733" i="2" a="1"/>
  <c r="AK733" i="2" s="1"/>
  <c r="AK734" i="2" a="1"/>
  <c r="AK734" i="2" s="1"/>
  <c r="AK735" i="2" a="1"/>
  <c r="AK735" i="2" s="1"/>
  <c r="AK736" i="2" a="1"/>
  <c r="AK736" i="2" s="1"/>
  <c r="AK737" i="2" a="1"/>
  <c r="AK737" i="2" s="1"/>
  <c r="AK738" i="2" a="1"/>
  <c r="AK738" i="2" s="1"/>
  <c r="AK739" i="2" a="1"/>
  <c r="AK739" i="2" s="1"/>
  <c r="AK740" i="2" a="1"/>
  <c r="AK740" i="2" s="1"/>
  <c r="AK741" i="2" a="1"/>
  <c r="AK741" i="2" s="1"/>
  <c r="AK742" i="2" a="1"/>
  <c r="AK742" i="2" s="1"/>
  <c r="AK743" i="2" a="1"/>
  <c r="AK743" i="2" s="1"/>
  <c r="AK744" i="2" a="1"/>
  <c r="AK744" i="2" s="1"/>
  <c r="AK745" i="2" a="1"/>
  <c r="AK745" i="2" s="1"/>
  <c r="AK746" i="2" a="1"/>
  <c r="AK746" i="2" s="1"/>
  <c r="AK747" i="2" a="1"/>
  <c r="AK747" i="2" s="1"/>
  <c r="AK748" i="2" a="1"/>
  <c r="AK748" i="2" s="1"/>
  <c r="AK749" i="2" a="1"/>
  <c r="AK749" i="2" s="1"/>
  <c r="AK750" i="2" a="1"/>
  <c r="AK750" i="2" s="1"/>
  <c r="AK751" i="2" a="1"/>
  <c r="AK751" i="2" s="1"/>
  <c r="AK752" i="2" a="1"/>
  <c r="AK752" i="2" s="1"/>
  <c r="AK753" i="2" a="1"/>
  <c r="AK753" i="2" s="1"/>
  <c r="AK754" i="2" a="1"/>
  <c r="AK754" i="2" s="1"/>
  <c r="AK755" i="2" a="1"/>
  <c r="AK755" i="2" s="1"/>
  <c r="AK756" i="2" a="1"/>
  <c r="AK756" i="2" s="1"/>
  <c r="AK757" i="2" a="1"/>
  <c r="AK757" i="2" s="1"/>
  <c r="AK758" i="2" a="1"/>
  <c r="AK758" i="2" s="1"/>
  <c r="AK759" i="2" a="1"/>
  <c r="AK759" i="2" s="1"/>
  <c r="AK760" i="2" a="1"/>
  <c r="AK760" i="2" s="1"/>
  <c r="AK761" i="2" a="1"/>
  <c r="AK761" i="2" s="1"/>
  <c r="AK762" i="2" a="1"/>
  <c r="AK762" i="2" s="1"/>
  <c r="AK763" i="2" a="1"/>
  <c r="AK763" i="2" s="1"/>
  <c r="AK764" i="2" a="1"/>
  <c r="AK764" i="2" s="1"/>
  <c r="AK765" i="2" a="1"/>
  <c r="AK765" i="2" s="1"/>
  <c r="AK766" i="2" a="1"/>
  <c r="AK766" i="2" s="1"/>
  <c r="AK767" i="2" a="1"/>
  <c r="AK767" i="2" s="1"/>
  <c r="AK768" i="2" a="1"/>
  <c r="AK768" i="2" s="1"/>
  <c r="AK769" i="2" a="1"/>
  <c r="AK769" i="2" s="1"/>
  <c r="AK770" i="2" a="1"/>
  <c r="AK770" i="2" s="1"/>
  <c r="AK771" i="2" a="1"/>
  <c r="AK771" i="2" s="1"/>
  <c r="AK772" i="2" a="1"/>
  <c r="AK772" i="2" s="1"/>
  <c r="AK773" i="2" a="1"/>
  <c r="AK773" i="2" s="1"/>
  <c r="AK774" i="2" a="1"/>
  <c r="AK774" i="2" s="1"/>
  <c r="AK775" i="2" a="1"/>
  <c r="AK775" i="2" s="1"/>
  <c r="AK776" i="2" a="1"/>
  <c r="AK776" i="2" s="1"/>
  <c r="AK777" i="2" a="1"/>
  <c r="AK777" i="2" s="1"/>
  <c r="AK778" i="2" a="1"/>
  <c r="AK778" i="2" s="1"/>
  <c r="AK779" i="2" a="1"/>
  <c r="AK779" i="2" s="1"/>
  <c r="AK780" i="2" a="1"/>
  <c r="AK780" i="2" s="1"/>
  <c r="AK781" i="2" a="1"/>
  <c r="AK781" i="2" s="1"/>
  <c r="AK782" i="2" a="1"/>
  <c r="AK782" i="2" s="1"/>
  <c r="AK783" i="2" a="1"/>
  <c r="AK783" i="2" s="1"/>
  <c r="AK784" i="2" a="1"/>
  <c r="AK784" i="2" s="1"/>
  <c r="AK785" i="2" a="1"/>
  <c r="AK785" i="2" s="1"/>
  <c r="AK786" i="2" a="1"/>
  <c r="AK786" i="2" s="1"/>
  <c r="AK787" i="2" a="1"/>
  <c r="AK787" i="2" s="1"/>
  <c r="AK788" i="2" a="1"/>
  <c r="AK788" i="2" s="1"/>
  <c r="AK789" i="2" a="1"/>
  <c r="AK789" i="2" s="1"/>
  <c r="AK790" i="2" a="1"/>
  <c r="AK790" i="2" s="1"/>
  <c r="AK791" i="2" a="1"/>
  <c r="AK791" i="2" s="1"/>
  <c r="AK792" i="2" a="1"/>
  <c r="AK792" i="2" s="1"/>
  <c r="AK793" i="2" a="1"/>
  <c r="AK793" i="2" s="1"/>
  <c r="AK794" i="2" a="1"/>
  <c r="AK794" i="2" s="1"/>
  <c r="AK795" i="2" a="1"/>
  <c r="AK795" i="2" s="1"/>
  <c r="AK796" i="2" a="1"/>
  <c r="AK796" i="2" s="1"/>
  <c r="AK797" i="2" a="1"/>
  <c r="AK797" i="2" s="1"/>
  <c r="AK798" i="2" a="1"/>
  <c r="AK798" i="2" s="1"/>
  <c r="AK799" i="2" a="1"/>
  <c r="AK799" i="2" s="1"/>
  <c r="AK800" i="2" a="1"/>
  <c r="AK800" i="2" s="1"/>
  <c r="AK801" i="2" a="1"/>
  <c r="AK801" i="2" s="1"/>
  <c r="AK802" i="2" a="1"/>
  <c r="AK802" i="2" s="1"/>
  <c r="AK803" i="2" a="1"/>
  <c r="AK803" i="2" s="1"/>
  <c r="AK804" i="2" a="1"/>
  <c r="AK804" i="2" s="1"/>
  <c r="AK805" i="2" a="1"/>
  <c r="AK805" i="2" s="1"/>
  <c r="AK806" i="2" a="1"/>
  <c r="AK806" i="2" s="1"/>
  <c r="AK807" i="2" a="1"/>
  <c r="AK807" i="2" s="1"/>
  <c r="AK808" i="2" a="1"/>
  <c r="AK808" i="2" s="1"/>
  <c r="AK809" i="2" a="1"/>
  <c r="AK809" i="2" s="1"/>
  <c r="AK810" i="2" a="1"/>
  <c r="AK810" i="2" s="1"/>
  <c r="AK811" i="2" a="1"/>
  <c r="AK811" i="2" s="1"/>
  <c r="AK812" i="2" a="1"/>
  <c r="AK812" i="2" s="1"/>
  <c r="AK813" i="2" a="1"/>
  <c r="AK813" i="2" s="1"/>
  <c r="AK814" i="2" a="1"/>
  <c r="AK814" i="2" s="1"/>
  <c r="AK815" i="2" a="1"/>
  <c r="AK815" i="2" s="1"/>
  <c r="AK816" i="2" a="1"/>
  <c r="AK816" i="2" s="1"/>
  <c r="AK817" i="2" a="1"/>
  <c r="AK817" i="2" s="1"/>
  <c r="AK818" i="2" a="1"/>
  <c r="AK818" i="2" s="1"/>
  <c r="AK819" i="2" a="1"/>
  <c r="AK819" i="2" s="1"/>
  <c r="AK820" i="2" a="1"/>
  <c r="AK820" i="2" s="1"/>
  <c r="AK821" i="2" a="1"/>
  <c r="AK821" i="2" s="1"/>
  <c r="AK822" i="2" a="1"/>
  <c r="AK822" i="2" s="1"/>
  <c r="AK823" i="2" a="1"/>
  <c r="AK823" i="2" s="1"/>
  <c r="AK824" i="2" a="1"/>
  <c r="AK824" i="2" s="1"/>
  <c r="AK825" i="2" a="1"/>
  <c r="AK825" i="2" s="1"/>
  <c r="AK826" i="2" a="1"/>
  <c r="AK826" i="2" s="1"/>
  <c r="AK827" i="2" a="1"/>
  <c r="AK827" i="2" s="1"/>
  <c r="AK828" i="2" a="1"/>
  <c r="AK828" i="2" s="1"/>
  <c r="AK829" i="2" a="1"/>
  <c r="AK829" i="2" s="1"/>
  <c r="AK830" i="2" a="1"/>
  <c r="AK830" i="2" s="1"/>
  <c r="AK831" i="2" a="1"/>
  <c r="AK831" i="2" s="1"/>
  <c r="AK832" i="2" a="1"/>
  <c r="AK832" i="2" s="1"/>
  <c r="AK833" i="2" a="1"/>
  <c r="AK833" i="2" s="1"/>
  <c r="AK834" i="2" a="1"/>
  <c r="AK834" i="2" s="1"/>
  <c r="AK835" i="2" a="1"/>
  <c r="AK835" i="2" s="1"/>
  <c r="AK836" i="2" a="1"/>
  <c r="AK836" i="2" s="1"/>
  <c r="AK837" i="2" a="1"/>
  <c r="AK837" i="2" s="1"/>
  <c r="AK838" i="2" a="1"/>
  <c r="AK838" i="2" s="1"/>
  <c r="AK839" i="2" a="1"/>
  <c r="AK839" i="2" s="1"/>
  <c r="AK840" i="2" a="1"/>
  <c r="AK840" i="2" s="1"/>
  <c r="AK841" i="2" a="1"/>
  <c r="AK841" i="2" s="1"/>
  <c r="AK842" i="2" a="1"/>
  <c r="AK842" i="2" s="1"/>
  <c r="AK843" i="2" a="1"/>
  <c r="AK843" i="2" s="1"/>
  <c r="AK844" i="2" a="1"/>
  <c r="AK844" i="2" s="1"/>
  <c r="AK845" i="2" a="1"/>
  <c r="AK845" i="2" s="1"/>
  <c r="AK846" i="2" a="1"/>
  <c r="AK846" i="2" s="1"/>
  <c r="AK847" i="2" a="1"/>
  <c r="AK847" i="2" s="1"/>
  <c r="AK848" i="2" a="1"/>
  <c r="AK848" i="2" s="1"/>
  <c r="AK849" i="2" a="1"/>
  <c r="AK849" i="2" s="1"/>
  <c r="AK850" i="2" a="1"/>
  <c r="AK850" i="2" s="1"/>
  <c r="AK851" i="2" a="1"/>
  <c r="AK851" i="2" s="1"/>
  <c r="AK852" i="2" a="1"/>
  <c r="AK852" i="2" s="1"/>
  <c r="AK853" i="2" a="1"/>
  <c r="AK853" i="2" s="1"/>
  <c r="AK854" i="2" a="1"/>
  <c r="AK854" i="2" s="1"/>
  <c r="AK855" i="2" a="1"/>
  <c r="AK855" i="2" s="1"/>
  <c r="AK856" i="2" a="1"/>
  <c r="AK856" i="2" s="1"/>
  <c r="AK857" i="2" a="1"/>
  <c r="AK857" i="2" s="1"/>
  <c r="AK858" i="2" a="1"/>
  <c r="AK858" i="2" s="1"/>
  <c r="AK859" i="2" a="1"/>
  <c r="AK859" i="2" s="1"/>
  <c r="AK860" i="2" a="1"/>
  <c r="AK860" i="2" s="1"/>
  <c r="AK861" i="2" a="1"/>
  <c r="AK861" i="2" s="1"/>
  <c r="AK862" i="2" a="1"/>
  <c r="AK862" i="2" s="1"/>
  <c r="AK863" i="2" a="1"/>
  <c r="AK863" i="2" s="1"/>
  <c r="AK864" i="2" a="1"/>
  <c r="AK864" i="2" s="1"/>
  <c r="AK865" i="2" a="1"/>
  <c r="AK865" i="2" s="1"/>
  <c r="AK866" i="2" a="1"/>
  <c r="AK866" i="2" s="1"/>
  <c r="AK867" i="2" a="1"/>
  <c r="AK867" i="2" s="1"/>
  <c r="AK868" i="2" a="1"/>
  <c r="AK868" i="2" s="1"/>
  <c r="AK869" i="2" a="1"/>
  <c r="AK869" i="2" s="1"/>
  <c r="AK870" i="2" a="1"/>
  <c r="AK870" i="2" s="1"/>
  <c r="AK871" i="2" a="1"/>
  <c r="AK871" i="2" s="1"/>
  <c r="AK872" i="2" a="1"/>
  <c r="AK872" i="2" s="1"/>
  <c r="AK873" i="2" a="1"/>
  <c r="AK873" i="2" s="1"/>
  <c r="AK874" i="2" a="1"/>
  <c r="AK874" i="2" s="1"/>
  <c r="AK875" i="2" a="1"/>
  <c r="AK875" i="2" s="1"/>
  <c r="AK876" i="2" a="1"/>
  <c r="AK876" i="2" s="1"/>
  <c r="AK877" i="2" a="1"/>
  <c r="AK877" i="2" s="1"/>
  <c r="AK878" i="2" a="1"/>
  <c r="AK878" i="2" s="1"/>
  <c r="AK879" i="2" a="1"/>
  <c r="AK879" i="2" s="1"/>
  <c r="AK880" i="2" a="1"/>
  <c r="AK880" i="2" s="1"/>
  <c r="AK881" i="2" a="1"/>
  <c r="AK881" i="2" s="1"/>
  <c r="AK882" i="2" a="1"/>
  <c r="AK882" i="2" s="1"/>
  <c r="AK883" i="2" a="1"/>
  <c r="AK883" i="2" s="1"/>
  <c r="AK884" i="2" a="1"/>
  <c r="AK884" i="2" s="1"/>
  <c r="AK885" i="2" a="1"/>
  <c r="AK885" i="2" s="1"/>
  <c r="AK886" i="2" a="1"/>
  <c r="AK886" i="2" s="1"/>
  <c r="AK887" i="2" a="1"/>
  <c r="AK887" i="2" s="1"/>
  <c r="AK888" i="2" a="1"/>
  <c r="AK888" i="2" s="1"/>
  <c r="AK889" i="2" a="1"/>
  <c r="AK889" i="2" s="1"/>
  <c r="AK890" i="2" a="1"/>
  <c r="AK890" i="2" s="1"/>
  <c r="AK891" i="2" a="1"/>
  <c r="AK891" i="2" s="1"/>
  <c r="AK892" i="2" a="1"/>
  <c r="AK892" i="2" s="1"/>
  <c r="AK893" i="2" a="1"/>
  <c r="AK893" i="2" s="1"/>
  <c r="AK894" i="2" a="1"/>
  <c r="AK894" i="2" s="1"/>
  <c r="AK895" i="2" a="1"/>
  <c r="AK895" i="2" s="1"/>
  <c r="AK896" i="2" a="1"/>
  <c r="AK896" i="2" s="1"/>
  <c r="AK897" i="2" a="1"/>
  <c r="AK897" i="2" s="1"/>
  <c r="AK898" i="2" a="1"/>
  <c r="AK898" i="2" s="1"/>
  <c r="AK899" i="2" a="1"/>
  <c r="AK899" i="2" s="1"/>
  <c r="AK900" i="2" a="1"/>
  <c r="AK900" i="2" s="1"/>
  <c r="AK901" i="2" a="1"/>
  <c r="AK901" i="2" s="1"/>
  <c r="AK902" i="2" a="1"/>
  <c r="AK902" i="2" s="1"/>
  <c r="AK903" i="2" a="1"/>
  <c r="AK903" i="2" s="1"/>
  <c r="AK904" i="2" a="1"/>
  <c r="AK904" i="2" s="1"/>
  <c r="AK905" i="2" a="1"/>
  <c r="AK905" i="2" s="1"/>
  <c r="AK906" i="2" a="1"/>
  <c r="AK906" i="2" s="1"/>
  <c r="AK907" i="2" a="1"/>
  <c r="AK907" i="2" s="1"/>
  <c r="AK908" i="2" a="1"/>
  <c r="AK908" i="2" s="1"/>
  <c r="AK909" i="2" a="1"/>
  <c r="AK909" i="2" s="1"/>
  <c r="AK910" i="2" a="1"/>
  <c r="AK910" i="2" s="1"/>
  <c r="AK911" i="2" a="1"/>
  <c r="AK911" i="2" s="1"/>
  <c r="AK912" i="2" a="1"/>
  <c r="AK912" i="2" s="1"/>
  <c r="AK913" i="2" a="1"/>
  <c r="AK913" i="2" s="1"/>
  <c r="AK914" i="2" a="1"/>
  <c r="AK914" i="2" s="1"/>
  <c r="AK915" i="2" a="1"/>
  <c r="AK915" i="2" s="1"/>
  <c r="AK916" i="2" a="1"/>
  <c r="AK916" i="2" s="1"/>
  <c r="AK917" i="2" a="1"/>
  <c r="AK917" i="2" s="1"/>
  <c r="AK918" i="2" a="1"/>
  <c r="AK918" i="2" s="1"/>
  <c r="AK919" i="2" a="1"/>
  <c r="AK919" i="2" s="1"/>
  <c r="AK920" i="2" a="1"/>
  <c r="AK920" i="2" s="1"/>
  <c r="AK921" i="2" a="1"/>
  <c r="AK921" i="2" s="1"/>
  <c r="AK922" i="2" a="1"/>
  <c r="AK922" i="2" s="1"/>
  <c r="AK923" i="2" a="1"/>
  <c r="AK923" i="2" s="1"/>
  <c r="AK924" i="2" a="1"/>
  <c r="AK924" i="2" s="1"/>
  <c r="AK925" i="2" a="1"/>
  <c r="AK925" i="2" s="1"/>
  <c r="AK926" i="2" a="1"/>
  <c r="AK926" i="2" s="1"/>
  <c r="AK927" i="2" a="1"/>
  <c r="AK927" i="2" s="1"/>
  <c r="AK928" i="2" a="1"/>
  <c r="AK928" i="2" s="1"/>
  <c r="AK929" i="2" a="1"/>
  <c r="AK929" i="2" s="1"/>
  <c r="AK930" i="2" a="1"/>
  <c r="AK930" i="2" s="1"/>
  <c r="AK931" i="2" a="1"/>
  <c r="AK931" i="2" s="1"/>
  <c r="AK932" i="2" a="1"/>
  <c r="AK932" i="2" s="1"/>
  <c r="AK933" i="2" a="1"/>
  <c r="AK933" i="2" s="1"/>
  <c r="AK934" i="2" a="1"/>
  <c r="AK934" i="2" s="1"/>
  <c r="AK935" i="2" a="1"/>
  <c r="AK935" i="2" s="1"/>
  <c r="AK936" i="2" a="1"/>
  <c r="AK936" i="2" s="1"/>
  <c r="AK937" i="2" a="1"/>
  <c r="AK937" i="2" s="1"/>
  <c r="AK938" i="2" a="1"/>
  <c r="AK938" i="2" s="1"/>
  <c r="AK939" i="2" a="1"/>
  <c r="AK939" i="2" s="1"/>
  <c r="AK940" i="2" a="1"/>
  <c r="AK940" i="2" s="1"/>
  <c r="AK941" i="2" a="1"/>
  <c r="AK941" i="2" s="1"/>
  <c r="AK942" i="2" a="1"/>
  <c r="AK942" i="2" s="1"/>
  <c r="AK943" i="2" a="1"/>
  <c r="AK943" i="2" s="1"/>
  <c r="AK944" i="2" a="1"/>
  <c r="AK944" i="2" s="1"/>
  <c r="AK945" i="2" a="1"/>
  <c r="AK945" i="2" s="1"/>
  <c r="AK946" i="2" a="1"/>
  <c r="AK946" i="2" s="1"/>
  <c r="AK947" i="2" a="1"/>
  <c r="AK947" i="2" s="1"/>
  <c r="AK948" i="2" a="1"/>
  <c r="AK948" i="2" s="1"/>
  <c r="AK949" i="2" a="1"/>
  <c r="AK949" i="2" s="1"/>
  <c r="AK950" i="2" a="1"/>
  <c r="AK950" i="2" s="1"/>
  <c r="AK951" i="2" a="1"/>
  <c r="AK951" i="2" s="1"/>
  <c r="AK952" i="2" a="1"/>
  <c r="AK952" i="2" s="1"/>
  <c r="AK953" i="2" a="1"/>
  <c r="AK953" i="2" s="1"/>
  <c r="AK954" i="2" a="1"/>
  <c r="AK954" i="2" s="1"/>
  <c r="AK955" i="2" a="1"/>
  <c r="AK955" i="2" s="1"/>
  <c r="AK956" i="2" a="1"/>
  <c r="AK956" i="2" s="1"/>
  <c r="AK957" i="2" a="1"/>
  <c r="AK957" i="2" s="1"/>
  <c r="AK958" i="2" a="1"/>
  <c r="AK958" i="2" s="1"/>
  <c r="AK959" i="2" a="1"/>
  <c r="AK959" i="2" s="1"/>
  <c r="AK960" i="2" a="1"/>
  <c r="AK960" i="2" s="1"/>
  <c r="AK961" i="2" a="1"/>
  <c r="AK961" i="2" s="1"/>
  <c r="AK962" i="2" a="1"/>
  <c r="AK962" i="2" s="1"/>
  <c r="AK963" i="2" a="1"/>
  <c r="AK963" i="2" s="1"/>
  <c r="AK964" i="2" a="1"/>
  <c r="AK964" i="2" s="1"/>
  <c r="AK965" i="2" a="1"/>
  <c r="AK965" i="2" s="1"/>
  <c r="AK966" i="2" a="1"/>
  <c r="AK966" i="2" s="1"/>
  <c r="AK967" i="2" a="1"/>
  <c r="AK967" i="2" s="1"/>
  <c r="AK968" i="2" a="1"/>
  <c r="AK968" i="2" s="1"/>
  <c r="AK969" i="2" a="1"/>
  <c r="AK969" i="2" s="1"/>
  <c r="AK970" i="2" a="1"/>
  <c r="AK970" i="2" s="1"/>
  <c r="AK971" i="2" a="1"/>
  <c r="AK971" i="2" s="1"/>
  <c r="AK972" i="2" a="1"/>
  <c r="AK972" i="2" s="1"/>
  <c r="AK973" i="2" a="1"/>
  <c r="AK973" i="2" s="1"/>
  <c r="AK974" i="2" a="1"/>
  <c r="AK974" i="2" s="1"/>
  <c r="AK975" i="2" a="1"/>
  <c r="AK975" i="2" s="1"/>
  <c r="AK976" i="2" a="1"/>
  <c r="AK976" i="2" s="1"/>
  <c r="AK977" i="2" a="1"/>
  <c r="AK977" i="2" s="1"/>
  <c r="AK978" i="2" a="1"/>
  <c r="AK978" i="2" s="1"/>
  <c r="AK979" i="2" a="1"/>
  <c r="AK979" i="2" s="1"/>
  <c r="AK980" i="2" a="1"/>
  <c r="AK980" i="2" s="1"/>
  <c r="AK981" i="2" a="1"/>
  <c r="AK981" i="2" s="1"/>
  <c r="AK982" i="2" a="1"/>
  <c r="AK982" i="2" s="1"/>
  <c r="AK983" i="2" a="1"/>
  <c r="AK983" i="2" s="1"/>
  <c r="AK984" i="2" a="1"/>
  <c r="AK984" i="2" s="1"/>
  <c r="AK985" i="2" a="1"/>
  <c r="AK985" i="2" s="1"/>
  <c r="AK986" i="2" a="1"/>
  <c r="AK986" i="2" s="1"/>
  <c r="AK987" i="2" a="1"/>
  <c r="AK987" i="2" s="1"/>
  <c r="AK988" i="2" a="1"/>
  <c r="AK988" i="2" s="1"/>
  <c r="AK989" i="2" a="1"/>
  <c r="AK989" i="2" s="1"/>
  <c r="AK990" i="2" a="1"/>
  <c r="AK990" i="2" s="1"/>
  <c r="AK991" i="2" a="1"/>
  <c r="AK991" i="2" s="1"/>
  <c r="AK992" i="2" a="1"/>
  <c r="AK992" i="2" s="1"/>
  <c r="AK993" i="2" a="1"/>
  <c r="AK993" i="2" s="1"/>
  <c r="AK994" i="2" a="1"/>
  <c r="AK994" i="2" s="1"/>
  <c r="AK995" i="2" a="1"/>
  <c r="AK995" i="2" s="1"/>
  <c r="AK996" i="2" a="1"/>
  <c r="AK996" i="2" s="1"/>
  <c r="AK997" i="2" a="1"/>
  <c r="AK997" i="2" s="1"/>
  <c r="AK998" i="2" a="1"/>
  <c r="AK998" i="2" s="1"/>
  <c r="AK999" i="2" a="1"/>
  <c r="AK999" i="2" s="1"/>
  <c r="AK1000" i="2" a="1"/>
  <c r="AK1000" i="2" s="1"/>
  <c r="AK1001" i="2" a="1"/>
  <c r="AK1001" i="2" s="1"/>
  <c r="AK1002" i="2" a="1"/>
  <c r="AK1002" i="2" s="1"/>
  <c r="AK1003" i="2" a="1"/>
  <c r="AK1003" i="2" s="1"/>
  <c r="AK1004" i="2" a="1"/>
  <c r="AK1004" i="2" s="1"/>
  <c r="AK1005" i="2" a="1"/>
  <c r="AK1005" i="2" s="1"/>
  <c r="AK1006" i="2" a="1"/>
  <c r="AK1006" i="2" s="1"/>
  <c r="AK1007" i="2" a="1"/>
  <c r="AK1007" i="2" s="1"/>
  <c r="AK1008" i="2" a="1"/>
  <c r="AK1008" i="2" s="1"/>
  <c r="AK1009" i="2" a="1"/>
  <c r="AK1009" i="2" s="1"/>
  <c r="AK1010" i="2" a="1"/>
  <c r="AK1010" i="2" s="1"/>
  <c r="AK1011" i="2" a="1"/>
  <c r="AK1011" i="2" s="1"/>
  <c r="AK1012" i="2" a="1"/>
  <c r="AK1012" i="2" s="1"/>
  <c r="AK1013" i="2" a="1"/>
  <c r="AK1013" i="2" s="1"/>
  <c r="AK1014" i="2" a="1"/>
  <c r="AK1014" i="2" s="1"/>
  <c r="AK1015" i="2" a="1"/>
  <c r="AK1015" i="2" s="1"/>
  <c r="AK1016" i="2" a="1"/>
  <c r="AK1016" i="2" s="1"/>
  <c r="AK1017" i="2" a="1"/>
  <c r="AK1017" i="2" s="1"/>
  <c r="AK1018" i="2" a="1"/>
  <c r="AK1018" i="2" s="1"/>
  <c r="AK1019" i="2" a="1"/>
  <c r="AK1019" i="2" s="1"/>
  <c r="AK1020" i="2" a="1"/>
  <c r="AK1020" i="2" s="1"/>
  <c r="AK1021" i="2" a="1"/>
  <c r="AK1021" i="2" s="1"/>
  <c r="AK1022" i="2" a="1"/>
  <c r="AK1022" i="2" s="1"/>
  <c r="AK1023" i="2" a="1"/>
  <c r="AK1023" i="2" s="1"/>
  <c r="AK1024" i="2" a="1"/>
  <c r="AK1024" i="2" s="1"/>
  <c r="AK1025" i="2" a="1"/>
  <c r="AK1025" i="2" s="1"/>
  <c r="AK1026" i="2" a="1"/>
  <c r="AK1026" i="2" s="1"/>
  <c r="AK1027" i="2" a="1"/>
  <c r="AK1027" i="2" s="1"/>
  <c r="AK1028" i="2" a="1"/>
  <c r="AK1028" i="2" s="1"/>
  <c r="AK1029" i="2" a="1"/>
  <c r="AK1029" i="2" s="1"/>
  <c r="AK1030" i="2" a="1"/>
  <c r="AK1030" i="2" s="1"/>
  <c r="AK1031" i="2" a="1"/>
  <c r="AK1031" i="2" s="1"/>
  <c r="AK1032" i="2" a="1"/>
  <c r="AK1032" i="2" s="1"/>
  <c r="AK1033" i="2" a="1"/>
  <c r="AK1033" i="2" s="1"/>
  <c r="AK1034" i="2" a="1"/>
  <c r="AK1034" i="2" s="1"/>
  <c r="AK1035" i="2" a="1"/>
  <c r="AK1035" i="2" s="1"/>
  <c r="AK1036" i="2" a="1"/>
  <c r="AK1036" i="2" s="1"/>
  <c r="AK1037" i="2" a="1"/>
  <c r="AK1037" i="2" s="1"/>
  <c r="AK1038" i="2" a="1"/>
  <c r="AK1038" i="2" s="1"/>
  <c r="AK1039" i="2" a="1"/>
  <c r="AK1039" i="2" s="1"/>
  <c r="AK1040" i="2" a="1"/>
  <c r="AK1040" i="2" s="1"/>
  <c r="AK1041" i="2" a="1"/>
  <c r="AK1041" i="2" s="1"/>
  <c r="AK1042" i="2" a="1"/>
  <c r="AK1042" i="2" s="1"/>
  <c r="AK1043" i="2" a="1"/>
  <c r="AK1043" i="2" s="1"/>
  <c r="AK1044" i="2" a="1"/>
  <c r="AK1044" i="2" s="1"/>
  <c r="AK1045" i="2" a="1"/>
  <c r="AK1045" i="2" s="1"/>
  <c r="AK1046" i="2" a="1"/>
  <c r="AK1046" i="2" s="1"/>
  <c r="AK1047" i="2" a="1"/>
  <c r="AK1047" i="2" s="1"/>
  <c r="AK1048" i="2" a="1"/>
  <c r="AK1048" i="2" s="1"/>
  <c r="AK1049" i="2" a="1"/>
  <c r="AK1049" i="2" s="1"/>
  <c r="AK1050" i="2" a="1"/>
  <c r="AK1050" i="2" s="1"/>
  <c r="AK1051" i="2" a="1"/>
  <c r="AK1051" i="2" s="1"/>
  <c r="AK1052" i="2" a="1"/>
  <c r="AK1052" i="2" s="1"/>
  <c r="AK1053" i="2" a="1"/>
  <c r="AK1053" i="2" s="1"/>
  <c r="AK1054" i="2" a="1"/>
  <c r="AK1054" i="2" s="1"/>
  <c r="AK1055" i="2" a="1"/>
  <c r="AK1055" i="2" s="1"/>
  <c r="AK1056" i="2" a="1"/>
  <c r="AK1056" i="2" s="1"/>
  <c r="AK1057" i="2" a="1"/>
  <c r="AK1057" i="2" s="1"/>
  <c r="AK1058" i="2" a="1"/>
  <c r="AK1058" i="2" s="1"/>
  <c r="AK1059" i="2" a="1"/>
  <c r="AK1059" i="2" s="1"/>
  <c r="AK1060" i="2" a="1"/>
  <c r="AK1060" i="2" s="1"/>
  <c r="AK1061" i="2" a="1"/>
  <c r="AK1061" i="2" s="1"/>
  <c r="AK1062" i="2" a="1"/>
  <c r="AK1062" i="2" s="1"/>
  <c r="AK1063" i="2" a="1"/>
  <c r="AK1063" i="2" s="1"/>
  <c r="AK1064" i="2" a="1"/>
  <c r="AK1064" i="2" s="1"/>
  <c r="AK1065" i="2" a="1"/>
  <c r="AK1065" i="2" s="1"/>
  <c r="AK1066" i="2" a="1"/>
  <c r="AK1066" i="2" s="1"/>
  <c r="AK1067" i="2" a="1"/>
  <c r="AK1067" i="2" s="1"/>
  <c r="AK1068" i="2" a="1"/>
  <c r="AK1068" i="2" s="1"/>
  <c r="AK1069" i="2" a="1"/>
  <c r="AK1069" i="2" s="1"/>
  <c r="AK1070" i="2" a="1"/>
  <c r="AK1070" i="2" s="1"/>
  <c r="AK1071" i="2" a="1"/>
  <c r="AK1071" i="2" s="1"/>
  <c r="AK1072" i="2" a="1"/>
  <c r="AK1072" i="2" s="1"/>
  <c r="AK1073" i="2" a="1"/>
  <c r="AK1073" i="2" s="1"/>
  <c r="AK1074" i="2" a="1"/>
  <c r="AK1074" i="2" s="1"/>
  <c r="AK1075" i="2" a="1"/>
  <c r="AK1075" i="2" s="1"/>
  <c r="AK1076" i="2" a="1"/>
  <c r="AK1076" i="2" s="1"/>
  <c r="AK1077" i="2" a="1"/>
  <c r="AK1077" i="2" s="1"/>
  <c r="AK1078" i="2" a="1"/>
  <c r="AK1078" i="2" s="1"/>
  <c r="AK1079" i="2" a="1"/>
  <c r="AK1079" i="2" s="1"/>
  <c r="AK1080" i="2" a="1"/>
  <c r="AK1080" i="2" s="1"/>
  <c r="AK1081" i="2" a="1"/>
  <c r="AK1081" i="2" s="1"/>
  <c r="AK1082" i="2" a="1"/>
  <c r="AK1082" i="2" s="1"/>
  <c r="AK1083" i="2" a="1"/>
  <c r="AK1083" i="2" s="1"/>
  <c r="AK1084" i="2" a="1"/>
  <c r="AK1084" i="2" s="1"/>
  <c r="AK1085" i="2" a="1"/>
  <c r="AK1085" i="2" s="1"/>
  <c r="AK1086" i="2" a="1"/>
  <c r="AK1086" i="2" s="1"/>
  <c r="AK1087" i="2" a="1"/>
  <c r="AK1087" i="2" s="1"/>
  <c r="AK1088" i="2" a="1"/>
  <c r="AK1088" i="2" s="1"/>
  <c r="AK1089" i="2" a="1"/>
  <c r="AK1089" i="2" s="1"/>
  <c r="AK1090" i="2" a="1"/>
  <c r="AK1090" i="2" s="1"/>
  <c r="AK1091" i="2" a="1"/>
  <c r="AK1091" i="2" s="1"/>
  <c r="AK1092" i="2" a="1"/>
  <c r="AK1092" i="2" s="1"/>
  <c r="AK1093" i="2" a="1"/>
  <c r="AK1093" i="2" s="1"/>
  <c r="AK1094" i="2" a="1"/>
  <c r="AK1094" i="2" s="1"/>
  <c r="AK1095" i="2" a="1"/>
  <c r="AK1095" i="2" s="1"/>
  <c r="AK1096" i="2" a="1"/>
  <c r="AK1096" i="2" s="1"/>
  <c r="AK1097" i="2" a="1"/>
  <c r="AK1097" i="2" s="1"/>
  <c r="AK1098" i="2" a="1"/>
  <c r="AK1098" i="2" s="1"/>
  <c r="AK1099" i="2" a="1"/>
  <c r="AK1099" i="2" s="1"/>
  <c r="AK1100" i="2" a="1"/>
  <c r="AK1100" i="2" s="1"/>
  <c r="AK1101" i="2" a="1"/>
  <c r="AK1101" i="2" s="1"/>
  <c r="AK1102" i="2" a="1"/>
  <c r="AK1102" i="2" s="1"/>
  <c r="AK1103" i="2" a="1"/>
  <c r="AK1103" i="2" s="1"/>
  <c r="AK1104" i="2" a="1"/>
  <c r="AK1104" i="2" s="1"/>
  <c r="AK1105" i="2" a="1"/>
  <c r="AK1105" i="2" s="1"/>
  <c r="AK1106" i="2" a="1"/>
  <c r="AK1106" i="2" s="1"/>
  <c r="AK1107" i="2" a="1"/>
  <c r="AK1107" i="2" s="1"/>
  <c r="AK1108" i="2" a="1"/>
  <c r="AK1108" i="2" s="1"/>
  <c r="AK1109" i="2" a="1"/>
  <c r="AK1109" i="2" s="1"/>
  <c r="AK1110" i="2" a="1"/>
  <c r="AK1110" i="2" s="1"/>
  <c r="AK1111" i="2" a="1"/>
  <c r="AK1111" i="2" s="1"/>
  <c r="AK1112" i="2" a="1"/>
  <c r="AK1112" i="2" s="1"/>
  <c r="AK1113" i="2" a="1"/>
  <c r="AK1113" i="2" s="1"/>
  <c r="AK1114" i="2" a="1"/>
  <c r="AK1114" i="2" s="1"/>
  <c r="AK1115" i="2" a="1"/>
  <c r="AK1115" i="2" s="1"/>
  <c r="AK1116" i="2" a="1"/>
  <c r="AK1116" i="2" s="1"/>
  <c r="AK1117" i="2" a="1"/>
  <c r="AK1117" i="2" s="1"/>
  <c r="AK1118" i="2" a="1"/>
  <c r="AK1118" i="2" s="1"/>
  <c r="AK1119" i="2" a="1"/>
  <c r="AK1119" i="2" s="1"/>
  <c r="AK1120" i="2" a="1"/>
  <c r="AK1120" i="2" s="1"/>
  <c r="AK1121" i="2" a="1"/>
  <c r="AK1121" i="2" s="1"/>
  <c r="AK1122" i="2" a="1"/>
  <c r="AK1122" i="2" s="1"/>
  <c r="AK1123" i="2" a="1"/>
  <c r="AK1123" i="2" s="1"/>
  <c r="AK1124" i="2" a="1"/>
  <c r="AK1124" i="2" s="1"/>
  <c r="AK1125" i="2" a="1"/>
  <c r="AK1125" i="2" s="1"/>
  <c r="AK1126" i="2" a="1"/>
  <c r="AK1126" i="2" s="1"/>
  <c r="AK1127" i="2" a="1"/>
  <c r="AK1127" i="2" s="1"/>
  <c r="AK1128" i="2" a="1"/>
  <c r="AK1128" i="2" s="1"/>
  <c r="AK1129" i="2" a="1"/>
  <c r="AK1129" i="2" s="1"/>
  <c r="AK1130" i="2" a="1"/>
  <c r="AK1130" i="2" s="1"/>
  <c r="AK1131" i="2" a="1"/>
  <c r="AK1131" i="2" s="1"/>
  <c r="AK1132" i="2" a="1"/>
  <c r="AK1132" i="2" s="1"/>
  <c r="AK1133" i="2" a="1"/>
  <c r="AK1133" i="2" s="1"/>
  <c r="AK1134" i="2" a="1"/>
  <c r="AK1134" i="2" s="1"/>
  <c r="AK1135" i="2" a="1"/>
  <c r="AK1135" i="2" s="1"/>
  <c r="AK1136" i="2" a="1"/>
  <c r="AK1136" i="2" s="1"/>
  <c r="AK1137" i="2" a="1"/>
  <c r="AK1137" i="2" s="1"/>
  <c r="AK1138" i="2" a="1"/>
  <c r="AK1138" i="2" s="1"/>
  <c r="AK1139" i="2" a="1"/>
  <c r="AK1139" i="2" s="1"/>
  <c r="AK1140" i="2" a="1"/>
  <c r="AK1140" i="2" s="1"/>
  <c r="AK1141" i="2" a="1"/>
  <c r="AK1141" i="2" s="1"/>
  <c r="AK1142" i="2" a="1"/>
  <c r="AK1142" i="2" s="1"/>
  <c r="AK1143" i="2" a="1"/>
  <c r="AK1143" i="2" s="1"/>
  <c r="AK1144" i="2" a="1"/>
  <c r="AK1144" i="2" s="1"/>
  <c r="AK1145" i="2" a="1"/>
  <c r="AK1145" i="2" s="1"/>
  <c r="AK1146" i="2" a="1"/>
  <c r="AK1146" i="2" s="1"/>
  <c r="AK1147" i="2" a="1"/>
  <c r="AK1147" i="2" s="1"/>
  <c r="AK1148" i="2" a="1"/>
  <c r="AK1148" i="2" s="1"/>
  <c r="AK1149" i="2" a="1"/>
  <c r="AK1149" i="2" s="1"/>
  <c r="AK1150" i="2" a="1"/>
  <c r="AK1150" i="2" s="1"/>
  <c r="AK1151" i="2" a="1"/>
  <c r="AK1151" i="2" s="1"/>
  <c r="AK1152" i="2" a="1"/>
  <c r="AK1152" i="2" s="1"/>
  <c r="AK1153" i="2" a="1"/>
  <c r="AK1153" i="2" s="1"/>
  <c r="AK1154" i="2" a="1"/>
  <c r="AK1154" i="2" s="1"/>
  <c r="AK1155" i="2" a="1"/>
  <c r="AK1155" i="2" s="1"/>
  <c r="AK1156" i="2" a="1"/>
  <c r="AK1156" i="2" s="1"/>
  <c r="AK1157" i="2" a="1"/>
  <c r="AK1157" i="2" s="1"/>
  <c r="AK1158" i="2" a="1"/>
  <c r="AK1158" i="2" s="1"/>
  <c r="AK1159" i="2" a="1"/>
  <c r="AK1159" i="2" s="1"/>
  <c r="AK1160" i="2" a="1"/>
  <c r="AK1160" i="2" s="1"/>
  <c r="AK1161" i="2" a="1"/>
  <c r="AK1161" i="2" s="1"/>
  <c r="AK1162" i="2" a="1"/>
  <c r="AK1162" i="2" s="1"/>
  <c r="AK1163" i="2" a="1"/>
  <c r="AK1163" i="2" s="1"/>
  <c r="AK1164" i="2" a="1"/>
  <c r="AK1164" i="2" s="1"/>
  <c r="AK1165" i="2" a="1"/>
  <c r="AK1165" i="2" s="1"/>
  <c r="AK1166" i="2" a="1"/>
  <c r="AK1166" i="2" s="1"/>
  <c r="AK1167" i="2" a="1"/>
  <c r="AK1167" i="2" s="1"/>
  <c r="AK1168" i="2" a="1"/>
  <c r="AK1168" i="2" s="1"/>
  <c r="AK1169" i="2" a="1"/>
  <c r="AK1169" i="2" s="1"/>
  <c r="AK1170" i="2" a="1"/>
  <c r="AK1170" i="2" s="1"/>
  <c r="AK1171" i="2" a="1"/>
  <c r="AK1171" i="2" s="1"/>
  <c r="AK1172" i="2" a="1"/>
  <c r="AK1172" i="2" s="1"/>
  <c r="AK1173" i="2" a="1"/>
  <c r="AK1173" i="2" s="1"/>
  <c r="AK1174" i="2" a="1"/>
  <c r="AK1174" i="2" s="1"/>
  <c r="AK1175" i="2" a="1"/>
  <c r="AK1175" i="2" s="1"/>
  <c r="AK1176" i="2" a="1"/>
  <c r="AK1176" i="2" s="1"/>
  <c r="AK1177" i="2" a="1"/>
  <c r="AK1177" i="2" s="1"/>
  <c r="AK1178" i="2" a="1"/>
  <c r="AK1178" i="2" s="1"/>
  <c r="AK1179" i="2" a="1"/>
  <c r="AK1179" i="2" s="1"/>
  <c r="AK1180" i="2" a="1"/>
  <c r="AK1180" i="2" s="1"/>
  <c r="AK1181" i="2" a="1"/>
  <c r="AK1181" i="2" s="1"/>
  <c r="AK1182" i="2" a="1"/>
  <c r="AK1182" i="2" s="1"/>
  <c r="AK1183" i="2" a="1"/>
  <c r="AK1183" i="2" s="1"/>
  <c r="AK1184" i="2" a="1"/>
  <c r="AK1184" i="2" s="1"/>
  <c r="AK1185" i="2" a="1"/>
  <c r="AK1185" i="2" s="1"/>
  <c r="AK1186" i="2" a="1"/>
  <c r="AK1186" i="2" s="1"/>
  <c r="AK1187" i="2" a="1"/>
  <c r="AK1187" i="2" s="1"/>
  <c r="AK1188" i="2" a="1"/>
  <c r="AK1188" i="2" s="1"/>
  <c r="AK1189" i="2" a="1"/>
  <c r="AK1189" i="2" s="1"/>
  <c r="AK1190" i="2" a="1"/>
  <c r="AK1190" i="2" s="1"/>
  <c r="AK1191" i="2" a="1"/>
  <c r="AK1191" i="2" s="1"/>
  <c r="AK1192" i="2" a="1"/>
  <c r="AK1192" i="2" s="1"/>
  <c r="AK1193" i="2" a="1"/>
  <c r="AK1193" i="2" s="1"/>
  <c r="AK1194" i="2" a="1"/>
  <c r="AK1194" i="2" s="1"/>
  <c r="AK1195" i="2" a="1"/>
  <c r="AK1195" i="2" s="1"/>
  <c r="AK1196" i="2" a="1"/>
  <c r="AK1196" i="2" s="1"/>
  <c r="AK1197" i="2" a="1"/>
  <c r="AK1197" i="2" s="1"/>
  <c r="AK1198" i="2" a="1"/>
  <c r="AK1198" i="2" s="1"/>
  <c r="AK1199" i="2" a="1"/>
  <c r="AK1199" i="2" s="1"/>
  <c r="AK1200" i="2" a="1"/>
  <c r="AK1200" i="2" s="1"/>
  <c r="AK1201" i="2" a="1"/>
  <c r="AK1201" i="2" s="1"/>
  <c r="AK1202" i="2" a="1"/>
  <c r="AK1202" i="2" s="1"/>
  <c r="AK1203" i="2" a="1"/>
  <c r="AK1203" i="2" s="1"/>
  <c r="AK1204" i="2" a="1"/>
  <c r="AK1204" i="2" s="1"/>
  <c r="AK1205" i="2" a="1"/>
  <c r="AK1205" i="2" s="1"/>
  <c r="AK1206" i="2" a="1"/>
  <c r="AK1206" i="2" s="1"/>
  <c r="AK1207" i="2" a="1"/>
  <c r="AK1207" i="2" s="1"/>
  <c r="AK1208" i="2" a="1"/>
  <c r="AK1208" i="2" s="1"/>
  <c r="AK1209" i="2" a="1"/>
  <c r="AK1209" i="2" s="1"/>
  <c r="AK1210" i="2" a="1"/>
  <c r="AK1210" i="2" s="1"/>
  <c r="AK1211" i="2" a="1"/>
  <c r="AK1211" i="2" s="1"/>
  <c r="AK1212" i="2" a="1"/>
  <c r="AK1212" i="2" s="1"/>
  <c r="AK1213" i="2" a="1"/>
  <c r="AK1213" i="2" s="1"/>
  <c r="AK1214" i="2" a="1"/>
  <c r="AK1214" i="2" s="1"/>
  <c r="AK1215" i="2" a="1"/>
  <c r="AK1215" i="2" s="1"/>
  <c r="AK1216" i="2" a="1"/>
  <c r="AK1216" i="2" s="1"/>
  <c r="AK1217" i="2" a="1"/>
  <c r="AK1217" i="2" s="1"/>
  <c r="AK1218" i="2" a="1"/>
  <c r="AK1218" i="2" s="1"/>
  <c r="AK1219" i="2" a="1"/>
  <c r="AK1219" i="2" s="1"/>
  <c r="AK1220" i="2" a="1"/>
  <c r="AK1220" i="2" s="1"/>
  <c r="AK1221" i="2" a="1"/>
  <c r="AK1221" i="2" s="1"/>
  <c r="AK1222" i="2" a="1"/>
  <c r="AK1222" i="2" s="1"/>
  <c r="AK1223" i="2" a="1"/>
  <c r="AK1223" i="2" s="1"/>
  <c r="AK1224" i="2" a="1"/>
  <c r="AK1224" i="2" s="1"/>
  <c r="AK1225" i="2" a="1"/>
  <c r="AK1225" i="2" s="1"/>
  <c r="AK1226" i="2" a="1"/>
  <c r="AK1226" i="2" s="1"/>
  <c r="AK1227" i="2" a="1"/>
  <c r="AK1227" i="2" s="1"/>
  <c r="AK1228" i="2" a="1"/>
  <c r="AK1228" i="2" s="1"/>
  <c r="AK1229" i="2" a="1"/>
  <c r="AK1229" i="2" s="1"/>
  <c r="AK1230" i="2" a="1"/>
  <c r="AK1230" i="2" s="1"/>
  <c r="AK1231" i="2" a="1"/>
  <c r="AK1231" i="2" s="1"/>
  <c r="AK1232" i="2" a="1"/>
  <c r="AK1232" i="2" s="1"/>
  <c r="AK1233" i="2" a="1"/>
  <c r="AK1233" i="2" s="1"/>
  <c r="AK1234" i="2" a="1"/>
  <c r="AK1234" i="2" s="1"/>
  <c r="AK1235" i="2" a="1"/>
  <c r="AK1235" i="2" s="1"/>
  <c r="AK1236" i="2" a="1"/>
  <c r="AK1236" i="2" s="1"/>
  <c r="AK1237" i="2" a="1"/>
  <c r="AK1237" i="2" s="1"/>
  <c r="AK1238" i="2" a="1"/>
  <c r="AK1238" i="2" s="1"/>
  <c r="AK1239" i="2" a="1"/>
  <c r="AK1239" i="2" s="1"/>
  <c r="AK1240" i="2" a="1"/>
  <c r="AK1240" i="2" s="1"/>
  <c r="AK1241" i="2" a="1"/>
  <c r="AK1241" i="2" s="1"/>
  <c r="AK1242" i="2" a="1"/>
  <c r="AK1242" i="2" s="1"/>
  <c r="AK1243" i="2" a="1"/>
  <c r="AK1243" i="2" s="1"/>
  <c r="AK1244" i="2" a="1"/>
  <c r="AK1244" i="2" s="1"/>
  <c r="AK1245" i="2" a="1"/>
  <c r="AK1245" i="2" s="1"/>
  <c r="AK1246" i="2" a="1"/>
  <c r="AK1246" i="2" s="1"/>
  <c r="AK1247" i="2" a="1"/>
  <c r="AK1247" i="2" s="1"/>
  <c r="AK1248" i="2" a="1"/>
  <c r="AK1248" i="2" s="1"/>
  <c r="AK1249" i="2" a="1"/>
  <c r="AK1249" i="2" s="1"/>
  <c r="AK1250" i="2" a="1"/>
  <c r="AK1250" i="2" s="1"/>
  <c r="AK1251" i="2" a="1"/>
  <c r="AK1251" i="2" s="1"/>
  <c r="AK1252" i="2" a="1"/>
  <c r="AK1252" i="2" s="1"/>
  <c r="AK1253" i="2" a="1"/>
  <c r="AK1253" i="2" s="1"/>
  <c r="AK1254" i="2" a="1"/>
  <c r="AK1254" i="2" s="1"/>
  <c r="AK1255" i="2" a="1"/>
  <c r="AK1255" i="2" s="1"/>
  <c r="AK1256" i="2" a="1"/>
  <c r="AK1256" i="2" s="1"/>
  <c r="AK1257" i="2" a="1"/>
  <c r="AK1257" i="2" s="1"/>
  <c r="AK1258" i="2" a="1"/>
  <c r="AK1258" i="2" s="1"/>
  <c r="AK1259" i="2" a="1"/>
  <c r="AK1259" i="2" s="1"/>
  <c r="AK1260" i="2" a="1"/>
  <c r="AK1260" i="2" s="1"/>
  <c r="AK1261" i="2" a="1"/>
  <c r="AK1261" i="2" s="1"/>
  <c r="AK1262" i="2" a="1"/>
  <c r="AK1262" i="2" s="1"/>
  <c r="AK1263" i="2" a="1"/>
  <c r="AK1263" i="2" s="1"/>
  <c r="AK1264" i="2" a="1"/>
  <c r="AK1264" i="2" s="1"/>
  <c r="AK1265" i="2" a="1"/>
  <c r="AK1265" i="2" s="1"/>
  <c r="AK1266" i="2" a="1"/>
  <c r="AK1266" i="2" s="1"/>
  <c r="AK1267" i="2" a="1"/>
  <c r="AK1267" i="2" s="1"/>
  <c r="AK1268" i="2" a="1"/>
  <c r="AK1268" i="2" s="1"/>
  <c r="AK1269" i="2" a="1"/>
  <c r="AK1269" i="2" s="1"/>
  <c r="AK1270" i="2" a="1"/>
  <c r="AK1270" i="2" s="1"/>
  <c r="AK1271" i="2" a="1"/>
  <c r="AK1271" i="2" s="1"/>
  <c r="AK1272" i="2" a="1"/>
  <c r="AK1272" i="2" s="1"/>
  <c r="AK1273" i="2" a="1"/>
  <c r="AK1273" i="2" s="1"/>
  <c r="AK1274" i="2" a="1"/>
  <c r="AK1274" i="2" s="1"/>
  <c r="AK1275" i="2" a="1"/>
  <c r="AK1275" i="2" s="1"/>
  <c r="AK1276" i="2" a="1"/>
  <c r="AK1276" i="2" s="1"/>
  <c r="AK1277" i="2" a="1"/>
  <c r="AK1277" i="2" s="1"/>
  <c r="AK1278" i="2" a="1"/>
  <c r="AK1278" i="2" s="1"/>
  <c r="AK1279" i="2" a="1"/>
  <c r="AK1279" i="2" s="1"/>
  <c r="AK1280" i="2" a="1"/>
  <c r="AK1280" i="2" s="1"/>
  <c r="AK1281" i="2" a="1"/>
  <c r="AK1281" i="2" s="1"/>
  <c r="AK1282" i="2" a="1"/>
  <c r="AK1282" i="2" s="1"/>
  <c r="AK1283" i="2" a="1"/>
  <c r="AK1283" i="2" s="1"/>
  <c r="AK1284" i="2" a="1"/>
  <c r="AK1284" i="2" s="1"/>
  <c r="AK1285" i="2" a="1"/>
  <c r="AK1285" i="2" s="1"/>
  <c r="AK1286" i="2" a="1"/>
  <c r="AK1286" i="2" s="1"/>
  <c r="AK1287" i="2" a="1"/>
  <c r="AK1287" i="2" s="1"/>
  <c r="AK1288" i="2" a="1"/>
  <c r="AK1288" i="2" s="1"/>
  <c r="AK1289" i="2" a="1"/>
  <c r="AK1289" i="2" s="1"/>
  <c r="AK1290" i="2" a="1"/>
  <c r="AK1290" i="2" s="1"/>
  <c r="AK1291" i="2" a="1"/>
  <c r="AK1291" i="2" s="1"/>
  <c r="AK1292" i="2" a="1"/>
  <c r="AK1292" i="2" s="1"/>
  <c r="AK1293" i="2" a="1"/>
  <c r="AK1293" i="2" s="1"/>
  <c r="AK1294" i="2" a="1"/>
  <c r="AK1294" i="2" s="1"/>
  <c r="AK1295" i="2" a="1"/>
  <c r="AK1295" i="2" s="1"/>
  <c r="AK1296" i="2" a="1"/>
  <c r="AK1296" i="2" s="1"/>
  <c r="AK1297" i="2" a="1"/>
  <c r="AK1297" i="2" s="1"/>
  <c r="AK1298" i="2" a="1"/>
  <c r="AK1298" i="2" s="1"/>
  <c r="AK1299" i="2" a="1"/>
  <c r="AK1299" i="2" s="1"/>
  <c r="AK1300" i="2" a="1"/>
  <c r="AK1300" i="2" s="1"/>
  <c r="AK1301" i="2" a="1"/>
  <c r="AK1301" i="2" s="1"/>
  <c r="AK1302" i="2" a="1"/>
  <c r="AK1302" i="2" s="1"/>
  <c r="AK1303" i="2" a="1"/>
  <c r="AK1303" i="2" s="1"/>
  <c r="AK1304" i="2" a="1"/>
  <c r="AK1304" i="2" s="1"/>
  <c r="AK1305" i="2" a="1"/>
  <c r="AK1305" i="2" s="1"/>
  <c r="AK1306" i="2" a="1"/>
  <c r="AK1306" i="2" s="1"/>
  <c r="AK1307" i="2" a="1"/>
  <c r="AK1307" i="2" s="1"/>
  <c r="AK1308" i="2" a="1"/>
  <c r="AK1308" i="2" s="1"/>
  <c r="AK1309" i="2" a="1"/>
  <c r="AK1309" i="2" s="1"/>
  <c r="AK1310" i="2" a="1"/>
  <c r="AK1310" i="2" s="1"/>
  <c r="AK1311" i="2" a="1"/>
  <c r="AK1311" i="2" s="1"/>
  <c r="AK1312" i="2" a="1"/>
  <c r="AK1312" i="2" s="1"/>
  <c r="AK1313" i="2" a="1"/>
  <c r="AK1313" i="2" s="1"/>
  <c r="AK1314" i="2" a="1"/>
  <c r="AK1314" i="2" s="1"/>
  <c r="AK1315" i="2" a="1"/>
  <c r="AK1315" i="2" s="1"/>
  <c r="AK1316" i="2" a="1"/>
  <c r="AK1316" i="2" s="1"/>
  <c r="AK1317" i="2" a="1"/>
  <c r="AK1317" i="2" s="1"/>
  <c r="AK1318" i="2" a="1"/>
  <c r="AK1318" i="2" s="1"/>
  <c r="AK1319" i="2" a="1"/>
  <c r="AK1319" i="2" s="1"/>
  <c r="AK1320" i="2" a="1"/>
  <c r="AK1320" i="2" s="1"/>
  <c r="AK1321" i="2" a="1"/>
  <c r="AK1321" i="2" s="1"/>
  <c r="AK1322" i="2" a="1"/>
  <c r="AK1322" i="2" s="1"/>
  <c r="AK1323" i="2" a="1"/>
  <c r="AK1323" i="2" s="1"/>
  <c r="AK1324" i="2" a="1"/>
  <c r="AK1324" i="2" s="1"/>
  <c r="AK1325" i="2" a="1"/>
  <c r="AK1325" i="2" s="1"/>
  <c r="AK1326" i="2" a="1"/>
  <c r="AK1326" i="2" s="1"/>
  <c r="AK1327" i="2" a="1"/>
  <c r="AK1327" i="2" s="1"/>
  <c r="AK1328" i="2" a="1"/>
  <c r="AK1328" i="2" s="1"/>
  <c r="AK1329" i="2" a="1"/>
  <c r="AK1329" i="2" s="1"/>
  <c r="AK1330" i="2" a="1"/>
  <c r="AK1330" i="2" s="1"/>
  <c r="AK1331" i="2" a="1"/>
  <c r="AK1331" i="2" s="1"/>
  <c r="AK1332" i="2" a="1"/>
  <c r="AK1332" i="2" s="1"/>
  <c r="AK1333" i="2" a="1"/>
  <c r="AK1333" i="2" s="1"/>
  <c r="AK1334" i="2" a="1"/>
  <c r="AK1334" i="2" s="1"/>
  <c r="AK1335" i="2" a="1"/>
  <c r="AK1335" i="2" s="1"/>
  <c r="AK1336" i="2" a="1"/>
  <c r="AK1336" i="2" s="1"/>
  <c r="AK1337" i="2" a="1"/>
  <c r="AK1337" i="2" s="1"/>
  <c r="AK1338" i="2" a="1"/>
  <c r="AK1338" i="2" s="1"/>
  <c r="AK1339" i="2" a="1"/>
  <c r="AK1339" i="2" s="1"/>
  <c r="AK1340" i="2" a="1"/>
  <c r="AK1340" i="2" s="1"/>
  <c r="AK1341" i="2" a="1"/>
  <c r="AK1341" i="2" s="1"/>
  <c r="AK1342" i="2" a="1"/>
  <c r="AK1342" i="2" s="1"/>
  <c r="AK1343" i="2" a="1"/>
  <c r="AK1343" i="2" s="1"/>
  <c r="AK1344" i="2" a="1"/>
  <c r="AK1344" i="2" s="1"/>
  <c r="AK1345" i="2" a="1"/>
  <c r="AK1345" i="2" s="1"/>
  <c r="AK1346" i="2" a="1"/>
  <c r="AK1346" i="2" s="1"/>
  <c r="AK1347" i="2" a="1"/>
  <c r="AK1347" i="2" s="1"/>
  <c r="AK1348" i="2" a="1"/>
  <c r="AK1348" i="2" s="1"/>
  <c r="AK1349" i="2" a="1"/>
  <c r="AK1349" i="2" s="1"/>
  <c r="AK1350" i="2" a="1"/>
  <c r="AK1350" i="2" s="1"/>
  <c r="AK1351" i="2" a="1"/>
  <c r="AK1351" i="2" s="1"/>
  <c r="AK1352" i="2" a="1"/>
  <c r="AK1352" i="2" s="1"/>
  <c r="AK1353" i="2" a="1"/>
  <c r="AK1353" i="2" s="1"/>
  <c r="AK1354" i="2" a="1"/>
  <c r="AK1354" i="2" s="1"/>
  <c r="AK1355" i="2" a="1"/>
  <c r="AK1355" i="2" s="1"/>
  <c r="AK1356" i="2" a="1"/>
  <c r="AK1356" i="2" s="1"/>
  <c r="AK1357" i="2" a="1"/>
  <c r="AK1357" i="2" s="1"/>
  <c r="AK1358" i="2" a="1"/>
  <c r="AK1358" i="2" s="1"/>
  <c r="AK1359" i="2" a="1"/>
  <c r="AK1359" i="2" s="1"/>
  <c r="AK1360" i="2" a="1"/>
  <c r="AK1360" i="2" s="1"/>
  <c r="AK1361" i="2" a="1"/>
  <c r="AK1361" i="2" s="1"/>
  <c r="AK1362" i="2" a="1"/>
  <c r="AK1362" i="2" s="1"/>
  <c r="AK1363" i="2" a="1"/>
  <c r="AK1363" i="2" s="1"/>
  <c r="AK1364" i="2" a="1"/>
  <c r="AK1364" i="2" s="1"/>
  <c r="AK1365" i="2" a="1"/>
  <c r="AK1365" i="2" s="1"/>
  <c r="AK1366" i="2" a="1"/>
  <c r="AK1366" i="2" s="1"/>
  <c r="AK1367" i="2" a="1"/>
  <c r="AK1367" i="2" s="1"/>
  <c r="AK1368" i="2" a="1"/>
  <c r="AK1368" i="2" s="1"/>
  <c r="AK1369" i="2" a="1"/>
  <c r="AK1369" i="2" s="1"/>
  <c r="AK1370" i="2" a="1"/>
  <c r="AK1370" i="2" s="1"/>
  <c r="AK1371" i="2" a="1"/>
  <c r="AK1371" i="2" s="1"/>
  <c r="AK1372" i="2" a="1"/>
  <c r="AK1372" i="2" s="1"/>
  <c r="AK1373" i="2" a="1"/>
  <c r="AK1373" i="2" s="1"/>
  <c r="AK1374" i="2" a="1"/>
  <c r="AK1374" i="2" s="1"/>
  <c r="AK1375" i="2" a="1"/>
  <c r="AK1375" i="2" s="1"/>
  <c r="AK1376" i="2" a="1"/>
  <c r="AK1376" i="2" s="1"/>
  <c r="AK1377" i="2" a="1"/>
  <c r="AK1377" i="2" s="1"/>
  <c r="AK1378" i="2" a="1"/>
  <c r="AK1378" i="2" s="1"/>
  <c r="AK1379" i="2" a="1"/>
  <c r="AK1379" i="2" s="1"/>
  <c r="AK1380" i="2" a="1"/>
  <c r="AK1380" i="2" s="1"/>
  <c r="AK1381" i="2" a="1"/>
  <c r="AK1381" i="2" s="1"/>
  <c r="AK1382" i="2" a="1"/>
  <c r="AK1382" i="2" s="1"/>
  <c r="AK1383" i="2" a="1"/>
  <c r="AK1383" i="2" s="1"/>
  <c r="AK1384" i="2" a="1"/>
  <c r="AK1384" i="2" s="1"/>
  <c r="AK1385" i="2" a="1"/>
  <c r="AK1385" i="2" s="1"/>
  <c r="AK1386" i="2" a="1"/>
  <c r="AK1386" i="2" s="1"/>
  <c r="AK1387" i="2" a="1"/>
  <c r="AK1387" i="2" s="1"/>
  <c r="AK1388" i="2" a="1"/>
  <c r="AK1388" i="2" s="1"/>
  <c r="AK1389" i="2" a="1"/>
  <c r="AK1389" i="2" s="1"/>
  <c r="AK1390" i="2" a="1"/>
  <c r="AK1390" i="2" s="1"/>
  <c r="AK1391" i="2" a="1"/>
  <c r="AK1391" i="2" s="1"/>
  <c r="AK1392" i="2" a="1"/>
  <c r="AK1392" i="2" s="1"/>
  <c r="AK1393" i="2" a="1"/>
  <c r="AK1393" i="2" s="1"/>
  <c r="AK1394" i="2" a="1"/>
  <c r="AK1394" i="2" s="1"/>
  <c r="AK1395" i="2" a="1"/>
  <c r="AK1395" i="2" s="1"/>
  <c r="AK1396" i="2" a="1"/>
  <c r="AK1396" i="2" s="1"/>
  <c r="AK1397" i="2" a="1"/>
  <c r="AK1397" i="2" s="1"/>
  <c r="AK1398" i="2" a="1"/>
  <c r="AK1398" i="2" s="1"/>
  <c r="AK1399" i="2" a="1"/>
  <c r="AK1399" i="2" s="1"/>
  <c r="AK1400" i="2" a="1"/>
  <c r="AK1400" i="2" s="1"/>
  <c r="AK1401" i="2" a="1"/>
  <c r="AK1401" i="2" s="1"/>
  <c r="AK1402" i="2" a="1"/>
  <c r="AK1402" i="2" s="1"/>
  <c r="AK1403" i="2" a="1"/>
  <c r="AK1403" i="2" s="1"/>
  <c r="AK1404" i="2" a="1"/>
  <c r="AK1404" i="2" s="1"/>
  <c r="AK1405" i="2" a="1"/>
  <c r="AK1405" i="2" s="1"/>
  <c r="AK1406" i="2" a="1"/>
  <c r="AK1406" i="2" s="1"/>
  <c r="AK1407" i="2" a="1"/>
  <c r="AK1407" i="2" s="1"/>
  <c r="AK1408" i="2" a="1"/>
  <c r="AK1408" i="2" s="1"/>
  <c r="AK1409" i="2" a="1"/>
  <c r="AK1409" i="2" s="1"/>
  <c r="AK1410" i="2" a="1"/>
  <c r="AK1410" i="2" s="1"/>
  <c r="AK1411" i="2" a="1"/>
  <c r="AK1411" i="2" s="1"/>
  <c r="AK1412" i="2" a="1"/>
  <c r="AK1412" i="2" s="1"/>
  <c r="AK1413" i="2" a="1"/>
  <c r="AK1413" i="2" s="1"/>
  <c r="AK1414" i="2" a="1"/>
  <c r="AK1414" i="2" s="1"/>
  <c r="AK1415" i="2" a="1"/>
  <c r="AK1415" i="2" s="1"/>
  <c r="AK1416" i="2" a="1"/>
  <c r="AK1416" i="2" s="1"/>
  <c r="AK1417" i="2" a="1"/>
  <c r="AK1417" i="2" s="1"/>
  <c r="AK1418" i="2" a="1"/>
  <c r="AK1418" i="2" s="1"/>
  <c r="AK1419" i="2" a="1"/>
  <c r="AK1419" i="2" s="1"/>
  <c r="AK1420" i="2" a="1"/>
  <c r="AK1420" i="2" s="1"/>
  <c r="AK1421" i="2" a="1"/>
  <c r="AK1421" i="2" s="1"/>
  <c r="AK1422" i="2" a="1"/>
  <c r="AK1422" i="2" s="1"/>
  <c r="AK1423" i="2" a="1"/>
  <c r="AK1423" i="2" s="1"/>
  <c r="AK1424" i="2" a="1"/>
  <c r="AK1424" i="2" s="1"/>
  <c r="AK1425" i="2" a="1"/>
  <c r="AK1425" i="2" s="1"/>
  <c r="AK1426" i="2" a="1"/>
  <c r="AK1426" i="2" s="1"/>
  <c r="AK1427" i="2" a="1"/>
  <c r="AK1427" i="2" s="1"/>
  <c r="AK1428" i="2" a="1"/>
  <c r="AK1428" i="2" s="1"/>
  <c r="AK1429" i="2" a="1"/>
  <c r="AK1429" i="2" s="1"/>
  <c r="AK1430" i="2" a="1"/>
  <c r="AK1430" i="2" s="1"/>
  <c r="AK1431" i="2" a="1"/>
  <c r="AK1431" i="2" s="1"/>
  <c r="AK1432" i="2" a="1"/>
  <c r="AK1432" i="2" s="1"/>
  <c r="AK1433" i="2" a="1"/>
  <c r="AK1433" i="2" s="1"/>
  <c r="AK1434" i="2" a="1"/>
  <c r="AK1434" i="2" s="1"/>
  <c r="AK1435" i="2" a="1"/>
  <c r="AK1435" i="2" s="1"/>
  <c r="AK1436" i="2" a="1"/>
  <c r="AK1436" i="2" s="1"/>
  <c r="AK1437" i="2" a="1"/>
  <c r="AK1437" i="2" s="1"/>
  <c r="AK1438" i="2" a="1"/>
  <c r="AK1438" i="2" s="1"/>
  <c r="AK1439" i="2" a="1"/>
  <c r="AK1439" i="2" s="1"/>
  <c r="AK1440" i="2" a="1"/>
  <c r="AK1440" i="2" s="1"/>
  <c r="AK1441" i="2" a="1"/>
  <c r="AK1441" i="2" s="1"/>
  <c r="AK1442" i="2" a="1"/>
  <c r="AK1442" i="2" s="1"/>
  <c r="AK1443" i="2" a="1"/>
  <c r="AK1443" i="2" s="1"/>
  <c r="AK1444" i="2" a="1"/>
  <c r="AK1444" i="2" s="1"/>
  <c r="AK1445" i="2" a="1"/>
  <c r="AK1445" i="2" s="1"/>
  <c r="AK1446" i="2" a="1"/>
  <c r="AK1446" i="2" s="1"/>
  <c r="AK1447" i="2" a="1"/>
  <c r="AK1447" i="2" s="1"/>
  <c r="AK1448" i="2" a="1"/>
  <c r="AK1448" i="2" s="1"/>
  <c r="AK1449" i="2" a="1"/>
  <c r="AK1449" i="2" s="1"/>
  <c r="AK1450" i="2" a="1"/>
  <c r="AK1450" i="2" s="1"/>
  <c r="AK1451" i="2" a="1"/>
  <c r="AK1451" i="2" s="1"/>
  <c r="AK1452" i="2" a="1"/>
  <c r="AK1452" i="2" s="1"/>
  <c r="AK1453" i="2" a="1"/>
  <c r="AK1453" i="2" s="1"/>
  <c r="AK1454" i="2" a="1"/>
  <c r="AK1454" i="2" s="1"/>
  <c r="AK1455" i="2" a="1"/>
  <c r="AK1455" i="2" s="1"/>
  <c r="AK1456" i="2" a="1"/>
  <c r="AK1456" i="2" s="1"/>
  <c r="AK1457" i="2" a="1"/>
  <c r="AK1457" i="2" s="1"/>
  <c r="AK1458" i="2" a="1"/>
  <c r="AK1458" i="2" s="1"/>
  <c r="AK1459" i="2" a="1"/>
  <c r="AK1459" i="2" s="1"/>
  <c r="AK1460" i="2" a="1"/>
  <c r="AK1460" i="2" s="1"/>
  <c r="AK1461" i="2" a="1"/>
  <c r="AK1461" i="2" s="1"/>
  <c r="AK1462" i="2" a="1"/>
  <c r="AK1462" i="2" s="1"/>
  <c r="AK1463" i="2" a="1"/>
  <c r="AK1463" i="2" s="1"/>
  <c r="AK1464" i="2" a="1"/>
  <c r="AK1464" i="2" s="1"/>
  <c r="AK1465" i="2" a="1"/>
  <c r="AK1465" i="2" s="1"/>
  <c r="AK1466" i="2" a="1"/>
  <c r="AK1466" i="2" s="1"/>
  <c r="AK1467" i="2" a="1"/>
  <c r="AK1467" i="2" s="1"/>
  <c r="AK1468" i="2" a="1"/>
  <c r="AK1468" i="2" s="1"/>
  <c r="AK1469" i="2" a="1"/>
  <c r="AK1469" i="2" s="1"/>
  <c r="AK1470" i="2" a="1"/>
  <c r="AK1470" i="2" s="1"/>
  <c r="AK1471" i="2" a="1"/>
  <c r="AK1471" i="2" s="1"/>
  <c r="K5" i="9"/>
  <c r="I7" i="10"/>
  <c r="I12" i="8"/>
  <c r="I11" i="8"/>
  <c r="D13" i="7"/>
  <c r="E13" i="7"/>
  <c r="G13" i="7"/>
  <c r="I6" i="10"/>
  <c r="I7" i="11"/>
  <c r="I9" i="10"/>
  <c r="I10" i="8"/>
  <c r="I6" i="11"/>
  <c r="I8" i="8"/>
  <c r="I6" i="8"/>
  <c r="K4" i="9"/>
  <c r="I5" i="8"/>
  <c r="I9" i="8"/>
  <c r="H13" i="7"/>
  <c r="B15" i="3"/>
  <c r="I7" i="8"/>
  <c r="K6" i="9"/>
  <c r="B10" i="6"/>
  <c r="I5" i="10"/>
  <c r="B9" i="6"/>
  <c r="I5" i="11"/>
  <c r="F13" i="7"/>
  <c r="I8" i="10"/>
  <c r="I4" i="8"/>
  <c r="C9" i="6" l="1"/>
  <c r="C10" i="6"/>
  <c r="D15" i="3"/>
  <c r="C15" i="3"/>
  <c r="F15" i="3" l="1"/>
  <c r="E15" i="3"/>
  <c r="AJ2" i="2" l="1"/>
  <c r="AJ478" i="2"/>
  <c r="AJ814" i="2"/>
  <c r="AJ334" i="2"/>
  <c r="AJ910" i="2"/>
  <c r="AJ94" i="2"/>
  <c r="AJ670" i="2"/>
  <c r="AJ227" i="2"/>
  <c r="AJ430" i="2"/>
  <c r="AJ1006" i="2"/>
  <c r="AJ323" i="2"/>
  <c r="AJ419" i="2"/>
  <c r="AJ515" i="2"/>
  <c r="AJ611" i="2"/>
  <c r="AJ36" i="2"/>
  <c r="AJ132" i="2"/>
  <c r="AJ228" i="2"/>
  <c r="AJ324" i="2"/>
  <c r="AJ420" i="2"/>
  <c r="AJ555" i="2"/>
  <c r="AJ190" i="2"/>
  <c r="AJ615" i="2"/>
  <c r="AJ286" i="2"/>
  <c r="AJ39" i="2"/>
  <c r="AJ766" i="2"/>
  <c r="AJ526" i="2"/>
  <c r="AJ83" i="2"/>
  <c r="AJ46" i="2"/>
  <c r="AJ622" i="2"/>
  <c r="AJ179" i="2"/>
  <c r="AJ133" i="2"/>
  <c r="AJ862" i="2"/>
  <c r="AJ382" i="2"/>
  <c r="AJ958" i="2"/>
  <c r="AJ184" i="2"/>
  <c r="AJ142" i="2"/>
  <c r="AJ718" i="2"/>
  <c r="AJ275" i="2"/>
  <c r="AJ371" i="2"/>
  <c r="AJ467" i="2"/>
  <c r="AJ563" i="2"/>
  <c r="AJ659" i="2"/>
  <c r="AJ84" i="2"/>
  <c r="AJ180" i="2"/>
  <c r="AJ276" i="2"/>
  <c r="AJ372" i="2"/>
  <c r="AJ256" i="2"/>
  <c r="AJ35" i="2"/>
  <c r="AJ267" i="2"/>
  <c r="AJ328" i="2"/>
  <c r="AJ238" i="2"/>
  <c r="AJ327" i="2"/>
  <c r="AJ574" i="2"/>
  <c r="AJ131" i="2"/>
  <c r="AJ568" i="2"/>
  <c r="AJ736" i="2"/>
  <c r="AJ125" i="2"/>
  <c r="AJ209" i="2"/>
  <c r="AJ305" i="2"/>
  <c r="AJ713" i="2"/>
  <c r="AJ821" i="2"/>
  <c r="AJ10" i="2"/>
  <c r="AJ58" i="2"/>
  <c r="AJ106" i="2"/>
  <c r="AJ154" i="2"/>
  <c r="AJ202" i="2"/>
  <c r="AJ250" i="2"/>
  <c r="AJ298" i="2"/>
  <c r="AJ346" i="2"/>
  <c r="AJ394" i="2"/>
  <c r="AJ442" i="2"/>
  <c r="AJ490" i="2"/>
  <c r="AJ538" i="2"/>
  <c r="AJ586" i="2"/>
  <c r="AJ634" i="2"/>
  <c r="AJ682" i="2"/>
  <c r="AJ730" i="2"/>
  <c r="AJ778" i="2"/>
  <c r="AJ826" i="2"/>
  <c r="AJ874" i="2"/>
  <c r="AJ922" i="2"/>
  <c r="AJ970" i="2"/>
  <c r="AJ1018" i="2"/>
  <c r="AJ47" i="2"/>
  <c r="AJ95" i="2"/>
  <c r="AJ143" i="2"/>
  <c r="AJ191" i="2"/>
  <c r="AJ239" i="2"/>
  <c r="AJ287" i="2"/>
  <c r="AJ335" i="2"/>
  <c r="AJ383" i="2"/>
  <c r="AJ431" i="2"/>
  <c r="AJ479" i="2"/>
  <c r="AJ527" i="2"/>
  <c r="AJ575" i="2"/>
  <c r="AJ623" i="2"/>
  <c r="AJ671" i="2"/>
  <c r="AJ48" i="2"/>
  <c r="AJ96" i="2"/>
  <c r="AJ144" i="2"/>
  <c r="AJ192" i="2"/>
  <c r="AJ240" i="2"/>
  <c r="AJ288" i="2"/>
  <c r="AJ336" i="2"/>
  <c r="AJ384" i="2"/>
  <c r="AJ432" i="2"/>
  <c r="AJ480" i="2"/>
  <c r="AJ528" i="2"/>
  <c r="AJ576" i="2"/>
  <c r="AJ624" i="2"/>
  <c r="AJ672" i="2"/>
  <c r="AJ49" i="2"/>
  <c r="AJ97" i="2"/>
  <c r="AJ145" i="2"/>
  <c r="AJ193" i="2"/>
  <c r="AJ241" i="2"/>
  <c r="AJ289" i="2"/>
  <c r="AJ337" i="2"/>
  <c r="AJ385" i="2"/>
  <c r="AJ433" i="2"/>
  <c r="AJ481" i="2"/>
  <c r="AJ529" i="2"/>
  <c r="AJ577" i="2"/>
  <c r="AJ625" i="2"/>
  <c r="AJ673" i="2"/>
  <c r="AJ721" i="2"/>
  <c r="AJ769" i="2"/>
  <c r="AJ817" i="2"/>
  <c r="AJ865" i="2"/>
  <c r="AJ913" i="2"/>
  <c r="AJ961" i="2"/>
  <c r="AJ1009" i="2"/>
  <c r="AJ38" i="2"/>
  <c r="AJ86" i="2"/>
  <c r="AJ134" i="2"/>
  <c r="AJ182" i="2"/>
  <c r="AJ230" i="2"/>
  <c r="AJ278" i="2"/>
  <c r="AJ326" i="2"/>
  <c r="AJ374" i="2"/>
  <c r="AJ422" i="2"/>
  <c r="AJ470" i="2"/>
  <c r="AJ518" i="2"/>
  <c r="AJ566" i="2"/>
  <c r="AJ614" i="2"/>
  <c r="AJ662" i="2"/>
  <c r="AJ99" i="2"/>
  <c r="AJ159" i="2"/>
  <c r="AJ387" i="2"/>
  <c r="AJ447" i="2"/>
  <c r="AJ675" i="2"/>
  <c r="AJ64" i="2"/>
  <c r="AJ496" i="2"/>
  <c r="AJ904" i="2"/>
  <c r="AJ53" i="2"/>
  <c r="AJ401" i="2"/>
  <c r="AJ725" i="2"/>
  <c r="AJ953" i="2"/>
  <c r="AJ78" i="2"/>
  <c r="AJ222" i="2"/>
  <c r="AJ199" i="2"/>
  <c r="AJ219" i="2"/>
  <c r="AJ279" i="2"/>
  <c r="AJ507" i="2"/>
  <c r="AJ567" i="2"/>
  <c r="AJ124" i="2"/>
  <c r="AJ196" i="2"/>
  <c r="AJ340" i="2"/>
  <c r="AJ664" i="2"/>
  <c r="AJ832" i="2"/>
  <c r="AJ617" i="2"/>
  <c r="AJ90" i="2"/>
  <c r="AJ378" i="2"/>
  <c r="AJ510" i="2"/>
  <c r="AJ654" i="2"/>
  <c r="AJ798" i="2"/>
  <c r="AJ211" i="2"/>
  <c r="AJ391" i="2"/>
  <c r="AJ848" i="2"/>
  <c r="AJ51" i="2"/>
  <c r="AJ111" i="2"/>
  <c r="AJ339" i="2"/>
  <c r="AJ399" i="2"/>
  <c r="AJ627" i="2"/>
  <c r="AJ16" i="2"/>
  <c r="AJ424" i="2"/>
  <c r="AJ592" i="2"/>
  <c r="AJ1000" i="2"/>
  <c r="AJ149" i="2"/>
  <c r="AJ521" i="2"/>
  <c r="AJ629" i="2"/>
  <c r="AJ666" i="2"/>
  <c r="AJ954" i="2"/>
  <c r="AJ67" i="2"/>
  <c r="AJ427" i="2"/>
  <c r="AJ165" i="2"/>
  <c r="AJ22" i="2"/>
  <c r="AJ70" i="2"/>
  <c r="AJ118" i="2"/>
  <c r="AJ166" i="2"/>
  <c r="AJ214" i="2"/>
  <c r="AJ262" i="2"/>
  <c r="AJ310" i="2"/>
  <c r="AJ358" i="2"/>
  <c r="AJ406" i="2"/>
  <c r="AJ454" i="2"/>
  <c r="AJ502" i="2"/>
  <c r="AJ550" i="2"/>
  <c r="AJ598" i="2"/>
  <c r="AJ646" i="2"/>
  <c r="AJ694" i="2"/>
  <c r="AJ742" i="2"/>
  <c r="AJ790" i="2"/>
  <c r="AJ838" i="2"/>
  <c r="AJ886" i="2"/>
  <c r="AJ934" i="2"/>
  <c r="AJ982" i="2"/>
  <c r="AJ11" i="2"/>
  <c r="AJ59" i="2"/>
  <c r="AJ107" i="2"/>
  <c r="AJ155" i="2"/>
  <c r="AJ203" i="2"/>
  <c r="AJ251" i="2"/>
  <c r="AJ299" i="2"/>
  <c r="AJ347" i="2"/>
  <c r="AJ395" i="2"/>
  <c r="AJ443" i="2"/>
  <c r="AJ491" i="2"/>
  <c r="AJ539" i="2"/>
  <c r="AJ587" i="2"/>
  <c r="AJ635" i="2"/>
  <c r="AJ12" i="2"/>
  <c r="AJ60" i="2"/>
  <c r="AJ108" i="2"/>
  <c r="AJ156" i="2"/>
  <c r="AJ204" i="2"/>
  <c r="AJ252" i="2"/>
  <c r="AJ300" i="2"/>
  <c r="AJ348" i="2"/>
  <c r="AJ396" i="2"/>
  <c r="AJ444" i="2"/>
  <c r="AJ492" i="2"/>
  <c r="AJ540" i="2"/>
  <c r="AJ588" i="2"/>
  <c r="AJ636" i="2"/>
  <c r="AJ13" i="2"/>
  <c r="AJ61" i="2"/>
  <c r="AJ109" i="2"/>
  <c r="AJ157" i="2"/>
  <c r="AJ205" i="2"/>
  <c r="AJ253" i="2"/>
  <c r="AJ301" i="2"/>
  <c r="AJ349" i="2"/>
  <c r="AJ397" i="2"/>
  <c r="AJ445" i="2"/>
  <c r="AJ493" i="2"/>
  <c r="AJ541" i="2"/>
  <c r="AJ589" i="2"/>
  <c r="AJ637" i="2"/>
  <c r="AJ685" i="2"/>
  <c r="AJ733" i="2"/>
  <c r="AJ781" i="2"/>
  <c r="AJ829" i="2"/>
  <c r="AJ877" i="2"/>
  <c r="AJ925" i="2"/>
  <c r="AJ973" i="2"/>
  <c r="AJ1021" i="2"/>
  <c r="AJ50" i="2"/>
  <c r="AJ98" i="2"/>
  <c r="AJ146" i="2"/>
  <c r="AJ194" i="2"/>
  <c r="AJ242" i="2"/>
  <c r="AJ290" i="2"/>
  <c r="AJ338" i="2"/>
  <c r="AJ386" i="2"/>
  <c r="AJ434" i="2"/>
  <c r="AJ482" i="2"/>
  <c r="AJ530" i="2"/>
  <c r="AJ578" i="2"/>
  <c r="AJ626" i="2"/>
  <c r="AJ674" i="2"/>
  <c r="AJ171" i="2"/>
  <c r="AJ231" i="2"/>
  <c r="AJ459" i="2"/>
  <c r="AJ519" i="2"/>
  <c r="AJ76" i="2"/>
  <c r="AJ136" i="2"/>
  <c r="AJ208" i="2"/>
  <c r="AJ280" i="2"/>
  <c r="AJ352" i="2"/>
  <c r="AJ760" i="2"/>
  <c r="AJ928" i="2"/>
  <c r="AJ245" i="2"/>
  <c r="AJ533" i="2"/>
  <c r="AJ857" i="2"/>
  <c r="AJ1033" i="2"/>
  <c r="AJ63" i="2"/>
  <c r="AJ291" i="2"/>
  <c r="AJ351" i="2"/>
  <c r="AJ579" i="2"/>
  <c r="AJ639" i="2"/>
  <c r="AJ520" i="2"/>
  <c r="AJ688" i="2"/>
  <c r="AJ77" i="2"/>
  <c r="AJ341" i="2"/>
  <c r="AJ869" i="2"/>
  <c r="AJ1013" i="2"/>
  <c r="AJ126" i="2"/>
  <c r="AJ247" i="2"/>
  <c r="AJ487" i="2"/>
  <c r="AJ1285" i="2"/>
  <c r="AJ123" i="2"/>
  <c r="AJ183" i="2"/>
  <c r="AJ411" i="2"/>
  <c r="AJ471" i="2"/>
  <c r="AJ28" i="2"/>
  <c r="AJ148" i="2"/>
  <c r="AJ292" i="2"/>
  <c r="AJ448" i="2"/>
  <c r="AJ856" i="2"/>
  <c r="AJ1024" i="2"/>
  <c r="AJ257" i="2"/>
  <c r="AJ437" i="2"/>
  <c r="AJ282" i="2"/>
  <c r="AJ414" i="2"/>
  <c r="AJ570" i="2"/>
  <c r="AJ702" i="2"/>
  <c r="AJ259" i="2"/>
  <c r="AJ88" i="2"/>
  <c r="AJ34" i="2"/>
  <c r="AJ82" i="2"/>
  <c r="AJ130" i="2"/>
  <c r="AJ178" i="2"/>
  <c r="AJ226" i="2"/>
  <c r="AJ274" i="2"/>
  <c r="AJ322" i="2"/>
  <c r="AJ370" i="2"/>
  <c r="AJ418" i="2"/>
  <c r="AJ466" i="2"/>
  <c r="AJ514" i="2"/>
  <c r="AJ562" i="2"/>
  <c r="AJ610" i="2"/>
  <c r="AJ658" i="2"/>
  <c r="AJ706" i="2"/>
  <c r="AJ754" i="2"/>
  <c r="AJ802" i="2"/>
  <c r="AJ850" i="2"/>
  <c r="AJ898" i="2"/>
  <c r="AJ946" i="2"/>
  <c r="AJ994" i="2"/>
  <c r="AJ23" i="2"/>
  <c r="AJ71" i="2"/>
  <c r="AJ119" i="2"/>
  <c r="AJ167" i="2"/>
  <c r="AJ215" i="2"/>
  <c r="AJ263" i="2"/>
  <c r="AJ311" i="2"/>
  <c r="AJ359" i="2"/>
  <c r="AJ407" i="2"/>
  <c r="AJ455" i="2"/>
  <c r="AJ503" i="2"/>
  <c r="AJ551" i="2"/>
  <c r="AJ599" i="2"/>
  <c r="AJ647" i="2"/>
  <c r="AJ24" i="2"/>
  <c r="AJ72" i="2"/>
  <c r="AJ120" i="2"/>
  <c r="AJ168" i="2"/>
  <c r="AJ216" i="2"/>
  <c r="AJ264" i="2"/>
  <c r="AJ312" i="2"/>
  <c r="AJ360" i="2"/>
  <c r="AJ408" i="2"/>
  <c r="AJ456" i="2"/>
  <c r="AJ504" i="2"/>
  <c r="AJ552" i="2"/>
  <c r="AJ600" i="2"/>
  <c r="AJ648" i="2"/>
  <c r="AJ25" i="2"/>
  <c r="AJ73" i="2"/>
  <c r="AJ121" i="2"/>
  <c r="AJ169" i="2"/>
  <c r="AJ217" i="2"/>
  <c r="AJ265" i="2"/>
  <c r="AJ313" i="2"/>
  <c r="AJ361" i="2"/>
  <c r="AJ409" i="2"/>
  <c r="AJ457" i="2"/>
  <c r="AJ505" i="2"/>
  <c r="AJ553" i="2"/>
  <c r="AJ601" i="2"/>
  <c r="AJ649" i="2"/>
  <c r="AJ697" i="2"/>
  <c r="AJ745" i="2"/>
  <c r="AJ793" i="2"/>
  <c r="AJ841" i="2"/>
  <c r="AJ889" i="2"/>
  <c r="AJ937" i="2"/>
  <c r="AJ985" i="2"/>
  <c r="AJ14" i="2"/>
  <c r="AJ62" i="2"/>
  <c r="AJ110" i="2"/>
  <c r="AJ158" i="2"/>
  <c r="AJ206" i="2"/>
  <c r="AJ254" i="2"/>
  <c r="AJ302" i="2"/>
  <c r="AJ350" i="2"/>
  <c r="AJ398" i="2"/>
  <c r="AJ446" i="2"/>
  <c r="AJ494" i="2"/>
  <c r="AJ542" i="2"/>
  <c r="AJ590" i="2"/>
  <c r="AJ638" i="2"/>
  <c r="AJ15" i="2"/>
  <c r="AJ243" i="2"/>
  <c r="AJ303" i="2"/>
  <c r="AJ531" i="2"/>
  <c r="AJ591" i="2"/>
  <c r="AJ616" i="2"/>
  <c r="AJ784" i="2"/>
  <c r="AJ665" i="2"/>
  <c r="AJ858" i="2"/>
  <c r="AJ990" i="2"/>
  <c r="AJ127" i="2"/>
  <c r="AJ271" i="2"/>
  <c r="AJ1154" i="2"/>
  <c r="AJ75" i="2"/>
  <c r="AJ135" i="2"/>
  <c r="AJ363" i="2"/>
  <c r="AJ423" i="2"/>
  <c r="AJ651" i="2"/>
  <c r="AJ40" i="2"/>
  <c r="AJ160" i="2"/>
  <c r="AJ232" i="2"/>
  <c r="AJ304" i="2"/>
  <c r="AJ376" i="2"/>
  <c r="AJ544" i="2"/>
  <c r="AJ952" i="2"/>
  <c r="AJ101" i="2"/>
  <c r="AJ185" i="2"/>
  <c r="AJ811" i="2"/>
  <c r="AJ1126" i="2"/>
  <c r="AJ195" i="2"/>
  <c r="AJ255" i="2"/>
  <c r="AJ483" i="2"/>
  <c r="AJ543" i="2"/>
  <c r="AJ100" i="2"/>
  <c r="AJ712" i="2"/>
  <c r="AJ880" i="2"/>
  <c r="AJ281" i="2"/>
  <c r="AJ917" i="2"/>
  <c r="AJ30" i="2"/>
  <c r="AJ318" i="2"/>
  <c r="AJ967" i="2"/>
  <c r="AJ468" i="2"/>
  <c r="AJ516" i="2"/>
  <c r="AJ564" i="2"/>
  <c r="AJ612" i="2"/>
  <c r="AJ660" i="2"/>
  <c r="AJ37" i="2"/>
  <c r="AJ85" i="2"/>
  <c r="AJ181" i="2"/>
  <c r="AJ229" i="2"/>
  <c r="AJ277" i="2"/>
  <c r="AJ325" i="2"/>
  <c r="AJ373" i="2"/>
  <c r="AJ421" i="2"/>
  <c r="AJ469" i="2"/>
  <c r="AJ517" i="2"/>
  <c r="AJ565" i="2"/>
  <c r="AJ613" i="2"/>
  <c r="AJ661" i="2"/>
  <c r="AJ709" i="2"/>
  <c r="AJ757" i="2"/>
  <c r="AJ805" i="2"/>
  <c r="AJ853" i="2"/>
  <c r="AJ901" i="2"/>
  <c r="AJ949" i="2"/>
  <c r="AJ997" i="2"/>
  <c r="AJ26" i="2"/>
  <c r="AJ74" i="2"/>
  <c r="AJ122" i="2"/>
  <c r="AJ170" i="2"/>
  <c r="AJ218" i="2"/>
  <c r="AJ266" i="2"/>
  <c r="AJ314" i="2"/>
  <c r="AJ362" i="2"/>
  <c r="AJ410" i="2"/>
  <c r="AJ458" i="2"/>
  <c r="AJ506" i="2"/>
  <c r="AJ554" i="2"/>
  <c r="AJ602" i="2"/>
  <c r="AJ650" i="2"/>
  <c r="AJ27" i="2"/>
  <c r="AJ87" i="2"/>
  <c r="AJ315" i="2"/>
  <c r="AJ375" i="2"/>
  <c r="AJ603" i="2"/>
  <c r="AJ663" i="2"/>
  <c r="AJ244" i="2"/>
  <c r="AJ472" i="2"/>
  <c r="AJ640" i="2"/>
  <c r="AJ29" i="2"/>
  <c r="AJ377" i="2"/>
  <c r="AJ473" i="2"/>
  <c r="AJ186" i="2"/>
  <c r="AJ330" i="2"/>
  <c r="AJ474" i="2"/>
  <c r="AJ606" i="2"/>
  <c r="AJ894" i="2"/>
  <c r="AJ147" i="2"/>
  <c r="AJ207" i="2"/>
  <c r="AJ435" i="2"/>
  <c r="AJ495" i="2"/>
  <c r="AJ52" i="2"/>
  <c r="AJ112" i="2"/>
  <c r="AJ400" i="2"/>
  <c r="AJ808" i="2"/>
  <c r="AJ976" i="2"/>
  <c r="AJ809" i="2"/>
  <c r="AJ762" i="2"/>
  <c r="AJ906" i="2"/>
  <c r="AJ31" i="2"/>
  <c r="AJ163" i="2"/>
  <c r="AJ296" i="2"/>
  <c r="AJ329" i="2"/>
  <c r="AJ965" i="2"/>
  <c r="AJ270" i="2"/>
  <c r="AJ522" i="2"/>
  <c r="AJ846" i="2"/>
  <c r="AJ79" i="2"/>
  <c r="AJ535" i="2"/>
  <c r="AJ679" i="2"/>
  <c r="AJ979" i="2"/>
  <c r="AJ488" i="2"/>
  <c r="AJ668" i="2"/>
  <c r="AJ860" i="2"/>
  <c r="AJ1045" i="2"/>
  <c r="AJ691" i="2"/>
  <c r="AJ823" i="2"/>
  <c r="AJ152" i="2"/>
  <c r="AJ512" i="2"/>
  <c r="AJ680" i="2"/>
  <c r="AJ1357" i="2"/>
  <c r="AJ1226" i="2"/>
  <c r="AJ233" i="2"/>
  <c r="AJ389" i="2"/>
  <c r="AJ569" i="2"/>
  <c r="AJ761" i="2"/>
  <c r="AJ42" i="2"/>
  <c r="AJ366" i="2"/>
  <c r="AJ618" i="2"/>
  <c r="AJ942" i="2"/>
  <c r="AJ355" i="2"/>
  <c r="AJ835" i="2"/>
  <c r="AJ344" i="2"/>
  <c r="AJ908" i="2"/>
  <c r="AJ367" i="2"/>
  <c r="AJ463" i="2"/>
  <c r="AJ1027" i="2"/>
  <c r="AJ368" i="2"/>
  <c r="AJ524" i="2"/>
  <c r="AJ388" i="2"/>
  <c r="AJ436" i="2"/>
  <c r="AJ484" i="2"/>
  <c r="AJ532" i="2"/>
  <c r="AJ580" i="2"/>
  <c r="AJ628" i="2"/>
  <c r="AJ676" i="2"/>
  <c r="AJ724" i="2"/>
  <c r="AJ772" i="2"/>
  <c r="AJ820" i="2"/>
  <c r="AJ868" i="2"/>
  <c r="AJ916" i="2"/>
  <c r="AJ964" i="2"/>
  <c r="AJ1012" i="2"/>
  <c r="AJ41" i="2"/>
  <c r="AJ89" i="2"/>
  <c r="AJ137" i="2"/>
  <c r="AJ293" i="2"/>
  <c r="AJ581" i="2"/>
  <c r="AJ773" i="2"/>
  <c r="AJ905" i="2"/>
  <c r="AJ138" i="2"/>
  <c r="AJ462" i="2"/>
  <c r="AJ714" i="2"/>
  <c r="AJ19" i="2"/>
  <c r="AJ283" i="2"/>
  <c r="AJ583" i="2"/>
  <c r="AJ200" i="2"/>
  <c r="AJ536" i="2"/>
  <c r="AJ779" i="2"/>
  <c r="AJ1298" i="2"/>
  <c r="AJ883" i="2"/>
  <c r="AJ224" i="2"/>
  <c r="AJ380" i="2"/>
  <c r="AJ752" i="2"/>
  <c r="AJ944" i="2"/>
  <c r="AJ1141" i="2"/>
  <c r="AJ1322" i="2"/>
  <c r="AJ197" i="2"/>
  <c r="AJ353" i="2"/>
  <c r="AJ1001" i="2"/>
  <c r="AJ234" i="2"/>
  <c r="AJ558" i="2"/>
  <c r="AJ810" i="2"/>
  <c r="AJ115" i="2"/>
  <c r="AJ751" i="2"/>
  <c r="AJ56" i="2"/>
  <c r="AJ392" i="2"/>
  <c r="AJ764" i="2"/>
  <c r="AJ968" i="2"/>
  <c r="AJ837" i="2"/>
  <c r="AJ80" i="2"/>
  <c r="AJ236" i="2"/>
  <c r="AJ584" i="2"/>
  <c r="AJ776" i="2"/>
  <c r="AJ992" i="2"/>
  <c r="AJ403" i="2"/>
  <c r="AJ499" i="2"/>
  <c r="AJ931" i="2"/>
  <c r="AJ248" i="2"/>
  <c r="AJ1418" i="2"/>
  <c r="AJ319" i="2"/>
  <c r="AJ775" i="2"/>
  <c r="AJ955" i="2"/>
  <c r="AJ92" i="2"/>
  <c r="AJ440" i="2"/>
  <c r="AJ824" i="2"/>
  <c r="AJ1130" i="2"/>
  <c r="AJ1442" i="2"/>
  <c r="AJ172" i="2"/>
  <c r="AJ220" i="2"/>
  <c r="AJ268" i="2"/>
  <c r="AJ316" i="2"/>
  <c r="AJ364" i="2"/>
  <c r="AJ412" i="2"/>
  <c r="AJ460" i="2"/>
  <c r="AJ508" i="2"/>
  <c r="AJ556" i="2"/>
  <c r="AJ604" i="2"/>
  <c r="AJ652" i="2"/>
  <c r="AJ700" i="2"/>
  <c r="AJ748" i="2"/>
  <c r="AJ796" i="2"/>
  <c r="AJ844" i="2"/>
  <c r="AJ892" i="2"/>
  <c r="AJ940" i="2"/>
  <c r="AJ988" i="2"/>
  <c r="AJ17" i="2"/>
  <c r="AJ65" i="2"/>
  <c r="AJ113" i="2"/>
  <c r="AJ161" i="2"/>
  <c r="AJ425" i="2"/>
  <c r="AJ485" i="2"/>
  <c r="AJ677" i="2"/>
  <c r="AJ174" i="2"/>
  <c r="AJ426" i="2"/>
  <c r="AJ750" i="2"/>
  <c r="AJ1002" i="2"/>
  <c r="AJ235" i="2"/>
  <c r="AJ523" i="2"/>
  <c r="AJ104" i="2"/>
  <c r="AJ1462" i="2"/>
  <c r="AJ1466" i="2"/>
  <c r="AJ223" i="2"/>
  <c r="AJ379" i="2"/>
  <c r="AJ547" i="2"/>
  <c r="AJ607" i="2"/>
  <c r="AJ667" i="2"/>
  <c r="AJ620" i="2"/>
  <c r="AJ704" i="2"/>
  <c r="AJ720" i="2"/>
  <c r="AJ923" i="2"/>
  <c r="AJ1069" i="2"/>
  <c r="AJ1167" i="2"/>
  <c r="AJ175" i="2"/>
  <c r="AJ331" i="2"/>
  <c r="AJ439" i="2"/>
  <c r="AJ727" i="2"/>
  <c r="AJ919" i="2"/>
  <c r="AJ44" i="2"/>
  <c r="AJ188" i="2"/>
  <c r="AJ332" i="2"/>
  <c r="AJ476" i="2"/>
  <c r="AJ872" i="2"/>
  <c r="AJ956" i="2"/>
  <c r="AJ21" i="2"/>
  <c r="AJ1429" i="2"/>
  <c r="AJ1058" i="2"/>
  <c r="AJ1346" i="2"/>
  <c r="AJ559" i="2"/>
  <c r="AJ619" i="2"/>
  <c r="AJ787" i="2"/>
  <c r="AJ859" i="2"/>
  <c r="AJ1003" i="2"/>
  <c r="AJ128" i="2"/>
  <c r="AJ272" i="2"/>
  <c r="AJ416" i="2"/>
  <c r="AJ560" i="2"/>
  <c r="AJ632" i="2"/>
  <c r="AJ716" i="2"/>
  <c r="AJ800" i="2"/>
  <c r="AJ950" i="2"/>
  <c r="AJ1081" i="2"/>
  <c r="AJ807" i="2"/>
  <c r="AJ1133" i="2"/>
  <c r="AJ1253" i="2"/>
  <c r="AJ187" i="2"/>
  <c r="AJ343" i="2"/>
  <c r="AJ451" i="2"/>
  <c r="AJ511" i="2"/>
  <c r="AJ571" i="2"/>
  <c r="AJ739" i="2"/>
  <c r="AJ799" i="2"/>
  <c r="AJ728" i="2"/>
  <c r="AJ812" i="2"/>
  <c r="AJ896" i="2"/>
  <c r="AJ1093" i="2"/>
  <c r="AJ1213" i="2"/>
  <c r="AJ866" i="2"/>
  <c r="AJ449" i="2"/>
  <c r="AJ497" i="2"/>
  <c r="AJ545" i="2"/>
  <c r="AJ593" i="2"/>
  <c r="AJ641" i="2"/>
  <c r="AJ689" i="2"/>
  <c r="AJ737" i="2"/>
  <c r="AJ785" i="2"/>
  <c r="AJ833" i="2"/>
  <c r="AJ881" i="2"/>
  <c r="AJ929" i="2"/>
  <c r="AJ977" i="2"/>
  <c r="AJ1025" i="2"/>
  <c r="AJ54" i="2"/>
  <c r="AJ102" i="2"/>
  <c r="AJ150" i="2"/>
  <c r="AJ198" i="2"/>
  <c r="AJ246" i="2"/>
  <c r="AJ294" i="2"/>
  <c r="AJ342" i="2"/>
  <c r="AJ390" i="2"/>
  <c r="AJ438" i="2"/>
  <c r="AJ486" i="2"/>
  <c r="AJ534" i="2"/>
  <c r="AJ582" i="2"/>
  <c r="AJ630" i="2"/>
  <c r="AJ678" i="2"/>
  <c r="AJ726" i="2"/>
  <c r="AJ774" i="2"/>
  <c r="AJ822" i="2"/>
  <c r="AJ870" i="2"/>
  <c r="AJ918" i="2"/>
  <c r="AJ966" i="2"/>
  <c r="AJ1014" i="2"/>
  <c r="AJ43" i="2"/>
  <c r="AJ91" i="2"/>
  <c r="AJ139" i="2"/>
  <c r="AJ295" i="2"/>
  <c r="AJ631" i="2"/>
  <c r="AJ871" i="2"/>
  <c r="AJ1015" i="2"/>
  <c r="AJ140" i="2"/>
  <c r="AJ284" i="2"/>
  <c r="AJ428" i="2"/>
  <c r="AJ572" i="2"/>
  <c r="AJ656" i="2"/>
  <c r="AJ309" i="2"/>
  <c r="AJ806" i="2"/>
  <c r="AJ1008" i="2"/>
  <c r="AJ1105" i="2"/>
  <c r="AJ1250" i="2"/>
  <c r="AJ1306" i="2"/>
  <c r="AJ345" i="2"/>
  <c r="AJ173" i="2"/>
  <c r="AJ221" i="2"/>
  <c r="AJ269" i="2"/>
  <c r="AJ317" i="2"/>
  <c r="AJ365" i="2"/>
  <c r="AJ413" i="2"/>
  <c r="AJ461" i="2"/>
  <c r="AJ509" i="2"/>
  <c r="AJ557" i="2"/>
  <c r="AJ605" i="2"/>
  <c r="AJ653" i="2"/>
  <c r="AJ701" i="2"/>
  <c r="AJ749" i="2"/>
  <c r="AJ797" i="2"/>
  <c r="AJ845" i="2"/>
  <c r="AJ893" i="2"/>
  <c r="AJ941" i="2"/>
  <c r="AJ989" i="2"/>
  <c r="AJ18" i="2"/>
  <c r="AJ66" i="2"/>
  <c r="AJ114" i="2"/>
  <c r="AJ162" i="2"/>
  <c r="AJ210" i="2"/>
  <c r="AJ258" i="2"/>
  <c r="AJ306" i="2"/>
  <c r="AJ354" i="2"/>
  <c r="AJ402" i="2"/>
  <c r="AJ450" i="2"/>
  <c r="AJ498" i="2"/>
  <c r="AJ546" i="2"/>
  <c r="AJ594" i="2"/>
  <c r="AJ642" i="2"/>
  <c r="AJ690" i="2"/>
  <c r="AJ738" i="2"/>
  <c r="AJ786" i="2"/>
  <c r="AJ834" i="2"/>
  <c r="AJ882" i="2"/>
  <c r="AJ930" i="2"/>
  <c r="AJ978" i="2"/>
  <c r="AJ1026" i="2"/>
  <c r="AJ55" i="2"/>
  <c r="AJ103" i="2"/>
  <c r="AJ151" i="2"/>
  <c r="AJ307" i="2"/>
  <c r="AJ415" i="2"/>
  <c r="AJ475" i="2"/>
  <c r="AJ643" i="2"/>
  <c r="AJ703" i="2"/>
  <c r="AJ763" i="2"/>
  <c r="AJ920" i="2"/>
  <c r="AJ1004" i="2"/>
  <c r="AJ597" i="2"/>
  <c r="AJ999" i="2"/>
  <c r="AJ1288" i="2"/>
  <c r="AJ595" i="2"/>
  <c r="AJ655" i="2"/>
  <c r="AJ715" i="2"/>
  <c r="AJ907" i="2"/>
  <c r="AJ32" i="2"/>
  <c r="AJ176" i="2"/>
  <c r="AJ320" i="2"/>
  <c r="AJ464" i="2"/>
  <c r="AJ608" i="2"/>
  <c r="AJ1016" i="2"/>
  <c r="AJ693" i="2"/>
  <c r="AJ891" i="2"/>
  <c r="AJ695" i="2"/>
  <c r="AJ1034" i="2"/>
  <c r="AJ957" i="2"/>
  <c r="AJ1408" i="2"/>
  <c r="AJ1165" i="2"/>
  <c r="AJ1237" i="2"/>
  <c r="AJ1309" i="2"/>
  <c r="AJ1381" i="2"/>
  <c r="AJ1453" i="2"/>
  <c r="AJ1174" i="2"/>
  <c r="AJ177" i="2"/>
  <c r="AJ753" i="2"/>
  <c r="AJ1082" i="2"/>
  <c r="AJ887" i="2"/>
  <c r="AJ782" i="2"/>
  <c r="AJ1335" i="2"/>
  <c r="AJ1114" i="2"/>
  <c r="AJ842" i="2"/>
  <c r="AJ1072" i="2"/>
  <c r="AJ1234" i="2"/>
  <c r="AJ758" i="2"/>
  <c r="AJ1373" i="2"/>
  <c r="AJ828" i="2"/>
  <c r="AJ1095" i="2"/>
  <c r="AJ1263" i="2"/>
  <c r="AJ1192" i="2"/>
  <c r="AJ1312" i="2"/>
  <c r="AJ1037" i="2"/>
  <c r="AJ1157" i="2"/>
  <c r="AJ732" i="2"/>
  <c r="AJ847" i="2"/>
  <c r="AJ895" i="2"/>
  <c r="AJ943" i="2"/>
  <c r="AJ991" i="2"/>
  <c r="AJ20" i="2"/>
  <c r="AJ68" i="2"/>
  <c r="AJ116" i="2"/>
  <c r="AJ164" i="2"/>
  <c r="AJ212" i="2"/>
  <c r="AJ260" i="2"/>
  <c r="AJ308" i="2"/>
  <c r="AJ356" i="2"/>
  <c r="AJ404" i="2"/>
  <c r="AJ452" i="2"/>
  <c r="AJ500" i="2"/>
  <c r="AJ548" i="2"/>
  <c r="AJ596" i="2"/>
  <c r="AJ644" i="2"/>
  <c r="AJ692" i="2"/>
  <c r="AJ740" i="2"/>
  <c r="AJ788" i="2"/>
  <c r="AJ836" i="2"/>
  <c r="AJ884" i="2"/>
  <c r="AJ932" i="2"/>
  <c r="AJ980" i="2"/>
  <c r="AJ1028" i="2"/>
  <c r="AJ453" i="2"/>
  <c r="AJ747" i="2"/>
  <c r="AJ864" i="2"/>
  <c r="AJ981" i="2"/>
  <c r="AJ1057" i="2"/>
  <c r="AJ983" i="2"/>
  <c r="AJ1178" i="2"/>
  <c r="AJ333" i="2"/>
  <c r="AJ1011" i="2"/>
  <c r="AJ1431" i="2"/>
  <c r="AJ633" i="2"/>
  <c r="AJ900" i="2"/>
  <c r="AJ1432" i="2"/>
  <c r="AJ1426" i="2"/>
  <c r="AJ1277" i="2"/>
  <c r="AJ1397" i="2"/>
  <c r="AJ1191" i="2"/>
  <c r="AJ1359" i="2"/>
  <c r="AJ1096" i="2"/>
  <c r="AJ1216" i="2"/>
  <c r="AJ816" i="2"/>
  <c r="AJ1061" i="2"/>
  <c r="AJ1078" i="2"/>
  <c r="AJ962" i="2"/>
  <c r="AJ1117" i="2"/>
  <c r="AJ1189" i="2"/>
  <c r="AJ1261" i="2"/>
  <c r="AJ1333" i="2"/>
  <c r="AJ1405" i="2"/>
  <c r="AJ801" i="2"/>
  <c r="AJ1318" i="2"/>
  <c r="AJ465" i="2"/>
  <c r="AJ1106" i="2"/>
  <c r="AJ1274" i="2"/>
  <c r="AJ840" i="2"/>
  <c r="AJ1119" i="2"/>
  <c r="AJ1294" i="2"/>
  <c r="AJ1336" i="2"/>
  <c r="AJ1456" i="2"/>
  <c r="AJ1181" i="2"/>
  <c r="AJ1301" i="2"/>
  <c r="AJ1460" i="2"/>
  <c r="AJ621" i="2"/>
  <c r="AJ1287" i="2"/>
  <c r="AJ1455" i="2"/>
  <c r="AJ959" i="2"/>
  <c r="AJ1120" i="2"/>
  <c r="AJ213" i="2"/>
  <c r="AJ875" i="2"/>
  <c r="AJ1421" i="2"/>
  <c r="AJ1330" i="2"/>
  <c r="AJ1098" i="2"/>
  <c r="AJ1341" i="2"/>
  <c r="AJ1202" i="2"/>
  <c r="AJ1370" i="2"/>
  <c r="AJ1047" i="2"/>
  <c r="AJ1215" i="2"/>
  <c r="AJ729" i="2"/>
  <c r="AJ1240" i="2"/>
  <c r="AJ1360" i="2"/>
  <c r="AJ1085" i="2"/>
  <c r="AJ1205" i="2"/>
  <c r="AJ1223" i="2"/>
  <c r="AJ899" i="2"/>
  <c r="AJ1383" i="2"/>
  <c r="AJ57" i="2"/>
  <c r="AJ1017" i="2"/>
  <c r="AJ743" i="2"/>
  <c r="AJ501" i="2"/>
  <c r="AJ1325" i="2"/>
  <c r="AJ1445" i="2"/>
  <c r="AJ1194" i="2"/>
  <c r="AJ1152" i="2"/>
  <c r="AJ1143" i="2"/>
  <c r="AJ1311" i="2"/>
  <c r="AJ1144" i="2"/>
  <c r="AJ1264" i="2"/>
  <c r="AJ933" i="2"/>
  <c r="AJ1109" i="2"/>
  <c r="AJ225" i="2"/>
  <c r="AJ723" i="2"/>
  <c r="AJ1071" i="2"/>
  <c r="AJ711" i="2"/>
  <c r="AJ783" i="2"/>
  <c r="AJ1384" i="2"/>
  <c r="AJ1054" i="2"/>
  <c r="AJ1229" i="2"/>
  <c r="AJ1349" i="2"/>
  <c r="AJ924" i="2"/>
  <c r="AJ1394" i="2"/>
  <c r="AJ45" i="2"/>
  <c r="AJ1239" i="2"/>
  <c r="AJ1407" i="2"/>
  <c r="AJ1048" i="2"/>
  <c r="AJ1168" i="2"/>
  <c r="AJ699" i="2"/>
  <c r="AJ987" i="2"/>
  <c r="AJ1469" i="2"/>
  <c r="AJ513" i="2"/>
  <c r="AJ1366" i="2"/>
  <c r="AJ1389" i="2"/>
  <c r="AJ1271" i="2"/>
  <c r="AJ1200" i="2"/>
  <c r="AJ1290" i="2"/>
  <c r="AJ417" i="2"/>
  <c r="AJ936" i="2"/>
  <c r="AJ1183" i="2"/>
  <c r="AJ1375" i="2"/>
  <c r="AJ681" i="2"/>
  <c r="AJ1076" i="2"/>
  <c r="AJ1268" i="2"/>
  <c r="AJ405" i="2"/>
  <c r="AJ1437" i="2"/>
  <c r="AJ1319" i="2"/>
  <c r="AJ1248" i="2"/>
  <c r="AJ741" i="2"/>
  <c r="AJ1102" i="2"/>
  <c r="AJ1367" i="2"/>
  <c r="AJ1296" i="2"/>
  <c r="AJ854" i="2"/>
  <c r="AJ141" i="2"/>
  <c r="AJ1415" i="2"/>
  <c r="AJ1344" i="2"/>
  <c r="AJ1153" i="2"/>
  <c r="AJ1201" i="2"/>
  <c r="AJ1249" i="2"/>
  <c r="AJ1297" i="2"/>
  <c r="AJ1345" i="2"/>
  <c r="AJ1393" i="2"/>
  <c r="AJ1441" i="2"/>
  <c r="AJ855" i="2"/>
  <c r="AJ1246" i="2"/>
  <c r="AJ33" i="2"/>
  <c r="AJ609" i="2"/>
  <c r="AJ780" i="2"/>
  <c r="AJ897" i="2"/>
  <c r="AJ1010" i="2"/>
  <c r="AJ1070" i="2"/>
  <c r="AJ1118" i="2"/>
  <c r="AJ1166" i="2"/>
  <c r="AJ1214" i="2"/>
  <c r="AJ1262" i="2"/>
  <c r="AJ1310" i="2"/>
  <c r="AJ1358" i="2"/>
  <c r="AJ1406" i="2"/>
  <c r="AJ1454" i="2"/>
  <c r="AJ1030" i="2"/>
  <c r="AJ1402" i="2"/>
  <c r="AJ477" i="2"/>
  <c r="AJ755" i="2"/>
  <c r="AJ867" i="2"/>
  <c r="AJ984" i="2"/>
  <c r="AJ1059" i="2"/>
  <c r="AJ1107" i="2"/>
  <c r="AJ1155" i="2"/>
  <c r="AJ1203" i="2"/>
  <c r="AJ1251" i="2"/>
  <c r="AJ1299" i="2"/>
  <c r="AJ1347" i="2"/>
  <c r="AJ1395" i="2"/>
  <c r="AJ1443" i="2"/>
  <c r="AJ945" i="2"/>
  <c r="AJ1378" i="2"/>
  <c r="AJ489" i="2"/>
  <c r="AJ756" i="2"/>
  <c r="AJ873" i="2"/>
  <c r="AJ986" i="2"/>
  <c r="AJ1060" i="2"/>
  <c r="AJ1108" i="2"/>
  <c r="AJ1156" i="2"/>
  <c r="AJ1204" i="2"/>
  <c r="AJ1252" i="2"/>
  <c r="AJ1300" i="2"/>
  <c r="AJ1348" i="2"/>
  <c r="AJ1396" i="2"/>
  <c r="AJ1444" i="2"/>
  <c r="AJ914" i="2"/>
  <c r="AJ1342" i="2"/>
  <c r="AJ357" i="2"/>
  <c r="AJ731" i="2"/>
  <c r="AJ843" i="2"/>
  <c r="AJ960" i="2"/>
  <c r="AJ1049" i="2"/>
  <c r="AJ1097" i="2"/>
  <c r="AJ1145" i="2"/>
  <c r="AJ1193" i="2"/>
  <c r="AJ1241" i="2"/>
  <c r="AJ1289" i="2"/>
  <c r="AJ1337" i="2"/>
  <c r="AJ1385" i="2"/>
  <c r="AJ1433" i="2"/>
  <c r="AJ684" i="2"/>
  <c r="AJ1186" i="2"/>
  <c r="AJ369" i="2"/>
  <c r="AJ849" i="2"/>
  <c r="AJ1146" i="2"/>
  <c r="AJ1338" i="2"/>
  <c r="AJ237" i="2"/>
  <c r="AJ1039" i="2"/>
  <c r="AJ1231" i="2"/>
  <c r="AJ1423" i="2"/>
  <c r="AJ794" i="2"/>
  <c r="AJ1124" i="2"/>
  <c r="AJ1316" i="2"/>
  <c r="AJ971" i="2"/>
  <c r="AJ686" i="2"/>
  <c r="AJ1463" i="2"/>
  <c r="AJ1392" i="2"/>
  <c r="AJ1053" i="2"/>
  <c r="AJ803" i="2"/>
  <c r="AJ441" i="2"/>
  <c r="AJ1440" i="2"/>
  <c r="AJ1101" i="2"/>
  <c r="AJ915" i="2"/>
  <c r="AJ746" i="2"/>
  <c r="AJ4" i="2"/>
  <c r="AJ1386" i="2"/>
  <c r="AJ707" i="2"/>
  <c r="AJ1087" i="2"/>
  <c r="AJ1279" i="2"/>
  <c r="AJ1471" i="2"/>
  <c r="AJ911" i="2"/>
  <c r="AJ1172" i="2"/>
  <c r="AJ1364" i="2"/>
  <c r="AJ1149" i="2"/>
  <c r="AJ1031" i="2"/>
  <c r="AJ863" i="2"/>
  <c r="AJ6" i="2"/>
  <c r="AJ1197" i="2"/>
  <c r="AJ1079" i="2"/>
  <c r="AJ975" i="2"/>
  <c r="AJ1245" i="2"/>
  <c r="AJ1127" i="2"/>
  <c r="AJ1056" i="2"/>
  <c r="AJ1129" i="2"/>
  <c r="AJ1177" i="2"/>
  <c r="AJ1225" i="2"/>
  <c r="AJ1273" i="2"/>
  <c r="AJ1321" i="2"/>
  <c r="AJ1369" i="2"/>
  <c r="AJ1417" i="2"/>
  <c r="AJ1465" i="2"/>
  <c r="AJ1090" i="2"/>
  <c r="AJ1414" i="2"/>
  <c r="AJ321" i="2"/>
  <c r="AJ722" i="2"/>
  <c r="AJ839" i="2"/>
  <c r="AJ951" i="2"/>
  <c r="AJ1046" i="2"/>
  <c r="AJ1094" i="2"/>
  <c r="AJ1142" i="2"/>
  <c r="AJ1190" i="2"/>
  <c r="AJ1238" i="2"/>
  <c r="AJ1286" i="2"/>
  <c r="AJ1334" i="2"/>
  <c r="AJ1382" i="2"/>
  <c r="AJ1430" i="2"/>
  <c r="AJ770" i="2"/>
  <c r="AJ1210" i="2"/>
  <c r="AJ189" i="2"/>
  <c r="AJ696" i="2"/>
  <c r="AJ813" i="2"/>
  <c r="AJ926" i="2"/>
  <c r="AJ1035" i="2"/>
  <c r="AJ1083" i="2"/>
  <c r="AJ1131" i="2"/>
  <c r="AJ1179" i="2"/>
  <c r="AJ1227" i="2"/>
  <c r="AJ1275" i="2"/>
  <c r="AJ1323" i="2"/>
  <c r="AJ1371" i="2"/>
  <c r="AJ1419" i="2"/>
  <c r="AJ1467" i="2"/>
  <c r="AJ1198" i="2"/>
  <c r="AJ201" i="2"/>
  <c r="AJ698" i="2"/>
  <c r="AJ815" i="2"/>
  <c r="AJ927" i="2"/>
  <c r="AJ1036" i="2"/>
  <c r="AJ1084" i="2"/>
  <c r="AJ1132" i="2"/>
  <c r="AJ1180" i="2"/>
  <c r="AJ1228" i="2"/>
  <c r="AJ1276" i="2"/>
  <c r="AJ1324" i="2"/>
  <c r="AJ1372" i="2"/>
  <c r="AJ1420" i="2"/>
  <c r="AJ1468" i="2"/>
  <c r="AJ1150" i="2"/>
  <c r="AJ69" i="2"/>
  <c r="AJ645" i="2"/>
  <c r="AJ789" i="2"/>
  <c r="AJ902" i="2"/>
  <c r="AJ1019" i="2"/>
  <c r="AJ1073" i="2"/>
  <c r="AJ1121" i="2"/>
  <c r="AJ1169" i="2"/>
  <c r="AJ1217" i="2"/>
  <c r="AJ1265" i="2"/>
  <c r="AJ1313" i="2"/>
  <c r="AJ1361" i="2"/>
  <c r="AJ1409" i="2"/>
  <c r="AJ1457" i="2"/>
  <c r="AJ972" i="2"/>
  <c r="AJ81" i="2"/>
  <c r="AJ657" i="2"/>
  <c r="AJ1050" i="2"/>
  <c r="AJ1242" i="2"/>
  <c r="AJ1434" i="2"/>
  <c r="AJ819" i="2"/>
  <c r="AJ1135" i="2"/>
  <c r="AJ1327" i="2"/>
  <c r="AJ105" i="2"/>
  <c r="AJ1023" i="2"/>
  <c r="AJ1220" i="2"/>
  <c r="AJ1412" i="2"/>
  <c r="AJ1293" i="2"/>
  <c r="AJ1175" i="2"/>
  <c r="AJ1104" i="2"/>
  <c r="AJ759" i="2"/>
  <c r="AJ876" i="2"/>
  <c r="AJ993" i="2"/>
  <c r="AJ1062" i="2"/>
  <c r="AJ1110" i="2"/>
  <c r="AJ1158" i="2"/>
  <c r="AJ1206" i="2"/>
  <c r="AJ1254" i="2"/>
  <c r="AJ1302" i="2"/>
  <c r="AJ1350" i="2"/>
  <c r="AJ1398" i="2"/>
  <c r="AJ1446" i="2"/>
  <c r="AJ1066" i="2"/>
  <c r="AJ381" i="2"/>
  <c r="AJ734" i="2"/>
  <c r="AJ851" i="2"/>
  <c r="AJ963" i="2"/>
  <c r="AJ1051" i="2"/>
  <c r="AJ1099" i="2"/>
  <c r="AJ1147" i="2"/>
  <c r="AJ1195" i="2"/>
  <c r="AJ1243" i="2"/>
  <c r="AJ1291" i="2"/>
  <c r="AJ1339" i="2"/>
  <c r="AJ1387" i="2"/>
  <c r="AJ1435" i="2"/>
  <c r="AJ561" i="2"/>
  <c r="AJ249" i="2"/>
  <c r="AJ708" i="2"/>
  <c r="AJ825" i="2"/>
  <c r="AJ938" i="2"/>
  <c r="AJ1040" i="2"/>
  <c r="AJ1088" i="2"/>
  <c r="AJ1136" i="2"/>
  <c r="AJ1184" i="2"/>
  <c r="AJ1232" i="2"/>
  <c r="AJ1280" i="2"/>
  <c r="AJ1328" i="2"/>
  <c r="AJ1376" i="2"/>
  <c r="AJ1424" i="2"/>
  <c r="AJ273" i="2"/>
  <c r="AJ1438" i="2"/>
  <c r="AJ549" i="2"/>
  <c r="AJ768" i="2"/>
  <c r="AJ885" i="2"/>
  <c r="AJ998" i="2"/>
  <c r="AJ1065" i="2"/>
  <c r="AJ1113" i="2"/>
  <c r="AJ1161" i="2"/>
  <c r="AJ1209" i="2"/>
  <c r="AJ1257" i="2"/>
  <c r="AJ1305" i="2"/>
  <c r="AJ1353" i="2"/>
  <c r="AJ1401" i="2"/>
  <c r="AJ1449" i="2"/>
  <c r="AJ1270" i="2"/>
  <c r="AJ285" i="2"/>
  <c r="AJ717" i="2"/>
  <c r="AJ830" i="2"/>
  <c r="AJ947" i="2"/>
  <c r="AJ1043" i="2"/>
  <c r="AJ1091" i="2"/>
  <c r="AJ1139" i="2"/>
  <c r="AJ1187" i="2"/>
  <c r="AJ1235" i="2"/>
  <c r="AJ1283" i="2"/>
  <c r="AJ1331" i="2"/>
  <c r="AJ1379" i="2"/>
  <c r="AJ1427" i="2"/>
  <c r="AJ1258" i="2"/>
  <c r="AJ585" i="2"/>
  <c r="AJ777" i="2"/>
  <c r="AJ890" i="2"/>
  <c r="AJ1007" i="2"/>
  <c r="AJ1068" i="2"/>
  <c r="AJ1116" i="2"/>
  <c r="AJ1164" i="2"/>
  <c r="AJ1212" i="2"/>
  <c r="AJ1260" i="2"/>
  <c r="AJ1308" i="2"/>
  <c r="AJ1356" i="2"/>
  <c r="AJ1404" i="2"/>
  <c r="AJ1452" i="2"/>
  <c r="AJ7" i="2"/>
  <c r="AJ9" i="2"/>
  <c r="AJ791" i="2"/>
  <c r="AJ903" i="2"/>
  <c r="AJ1020" i="2"/>
  <c r="AJ1074" i="2"/>
  <c r="AJ1122" i="2"/>
  <c r="AJ1170" i="2"/>
  <c r="AJ1218" i="2"/>
  <c r="AJ1266" i="2"/>
  <c r="AJ1314" i="2"/>
  <c r="AJ1362" i="2"/>
  <c r="AJ1410" i="2"/>
  <c r="AJ1458" i="2"/>
  <c r="AJ1282" i="2"/>
  <c r="AJ525" i="2"/>
  <c r="AJ765" i="2"/>
  <c r="AJ878" i="2"/>
  <c r="AJ995" i="2"/>
  <c r="AJ1063" i="2"/>
  <c r="AJ1111" i="2"/>
  <c r="AJ1159" i="2"/>
  <c r="AJ1207" i="2"/>
  <c r="AJ1255" i="2"/>
  <c r="AJ1303" i="2"/>
  <c r="AJ1351" i="2"/>
  <c r="AJ1399" i="2"/>
  <c r="AJ1447" i="2"/>
  <c r="AJ1138" i="2"/>
  <c r="AJ393" i="2"/>
  <c r="AJ735" i="2"/>
  <c r="AJ852" i="2"/>
  <c r="AJ969" i="2"/>
  <c r="AJ1052" i="2"/>
  <c r="AJ1100" i="2"/>
  <c r="AJ1148" i="2"/>
  <c r="AJ1196" i="2"/>
  <c r="AJ1244" i="2"/>
  <c r="AJ1292" i="2"/>
  <c r="AJ1340" i="2"/>
  <c r="AJ1388" i="2"/>
  <c r="AJ1436" i="2"/>
  <c r="AJ1042" i="2"/>
  <c r="AJ117" i="2"/>
  <c r="AJ683" i="2"/>
  <c r="AJ795" i="2"/>
  <c r="AJ912" i="2"/>
  <c r="AJ1029" i="2"/>
  <c r="AJ1077" i="2"/>
  <c r="AJ1125" i="2"/>
  <c r="AJ1173" i="2"/>
  <c r="AJ1221" i="2"/>
  <c r="AJ1269" i="2"/>
  <c r="AJ1317" i="2"/>
  <c r="AJ1365" i="2"/>
  <c r="AJ1413" i="2"/>
  <c r="AJ1461" i="2"/>
  <c r="AJ1390" i="2"/>
  <c r="AJ429" i="2"/>
  <c r="AJ744" i="2"/>
  <c r="AJ861" i="2"/>
  <c r="AJ974" i="2"/>
  <c r="AJ1055" i="2"/>
  <c r="AJ1103" i="2"/>
  <c r="AJ1151" i="2"/>
  <c r="AJ1199" i="2"/>
  <c r="AJ1247" i="2"/>
  <c r="AJ1295" i="2"/>
  <c r="AJ1343" i="2"/>
  <c r="AJ1391" i="2"/>
  <c r="AJ1439" i="2"/>
  <c r="AJ153" i="2"/>
  <c r="AJ687" i="2"/>
  <c r="AJ804" i="2"/>
  <c r="AJ921" i="2"/>
  <c r="AJ1032" i="2"/>
  <c r="AJ1080" i="2"/>
  <c r="AJ1128" i="2"/>
  <c r="AJ1176" i="2"/>
  <c r="AJ1224" i="2"/>
  <c r="AJ1272" i="2"/>
  <c r="AJ1320" i="2"/>
  <c r="AJ1368" i="2"/>
  <c r="AJ1416" i="2"/>
  <c r="AJ1464" i="2"/>
  <c r="AJ5" i="2"/>
  <c r="AJ8" i="2"/>
  <c r="AJ705" i="2"/>
  <c r="AJ818" i="2"/>
  <c r="AJ935" i="2"/>
  <c r="AJ1038" i="2"/>
  <c r="AJ1086" i="2"/>
  <c r="AJ1134" i="2"/>
  <c r="AJ1182" i="2"/>
  <c r="AJ1230" i="2"/>
  <c r="AJ1278" i="2"/>
  <c r="AJ1326" i="2"/>
  <c r="AJ1374" i="2"/>
  <c r="AJ1422" i="2"/>
  <c r="AJ1470" i="2"/>
  <c r="AJ93" i="2"/>
  <c r="AJ669" i="2"/>
  <c r="AJ792" i="2"/>
  <c r="AJ909" i="2"/>
  <c r="AJ1022" i="2"/>
  <c r="AJ1075" i="2"/>
  <c r="AJ1123" i="2"/>
  <c r="AJ1171" i="2"/>
  <c r="AJ1219" i="2"/>
  <c r="AJ1267" i="2"/>
  <c r="AJ1315" i="2"/>
  <c r="AJ1363" i="2"/>
  <c r="AJ1411" i="2"/>
  <c r="AJ1459" i="2"/>
  <c r="AJ1354" i="2"/>
  <c r="AJ537" i="2"/>
  <c r="AJ767" i="2"/>
  <c r="AJ879" i="2"/>
  <c r="AJ996" i="2"/>
  <c r="AJ1064" i="2"/>
  <c r="AJ1112" i="2"/>
  <c r="AJ1160" i="2"/>
  <c r="AJ1208" i="2"/>
  <c r="AJ1256" i="2"/>
  <c r="AJ1304" i="2"/>
  <c r="AJ1352" i="2"/>
  <c r="AJ1400" i="2"/>
  <c r="AJ1448" i="2"/>
  <c r="AJ1222" i="2"/>
  <c r="AJ261" i="2"/>
  <c r="AJ710" i="2"/>
  <c r="AJ827" i="2"/>
  <c r="AJ939" i="2"/>
  <c r="AJ1041" i="2"/>
  <c r="AJ1089" i="2"/>
  <c r="AJ1137" i="2"/>
  <c r="AJ1185" i="2"/>
  <c r="AJ1233" i="2"/>
  <c r="AJ1281" i="2"/>
  <c r="AJ1329" i="2"/>
  <c r="AJ1377" i="2"/>
  <c r="AJ1425" i="2"/>
  <c r="AJ129" i="2"/>
  <c r="AJ1450" i="2"/>
  <c r="AJ573" i="2"/>
  <c r="AJ771" i="2"/>
  <c r="AJ888" i="2"/>
  <c r="AJ1005" i="2"/>
  <c r="AJ1067" i="2"/>
  <c r="AJ1115" i="2"/>
  <c r="AJ1163" i="2"/>
  <c r="AJ1211" i="2"/>
  <c r="AJ1259" i="2"/>
  <c r="AJ1307" i="2"/>
  <c r="AJ1355" i="2"/>
  <c r="AJ1403" i="2"/>
  <c r="AJ1451" i="2"/>
  <c r="AJ297" i="2"/>
  <c r="AJ719" i="2"/>
  <c r="AJ831" i="2"/>
  <c r="AJ948" i="2"/>
  <c r="AJ1044" i="2"/>
  <c r="AJ1092" i="2"/>
  <c r="AJ1140" i="2"/>
  <c r="AJ1188" i="2"/>
  <c r="AJ1236" i="2"/>
  <c r="AJ1284" i="2"/>
  <c r="AJ1332" i="2"/>
  <c r="AJ1380" i="2"/>
  <c r="AJ1428" i="2"/>
  <c r="AJ1162" i="2"/>
  <c r="AJ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45FFAE-23EA-48DD-809D-A35BDBB47C57}" keepAlive="1" name="Consulta - WA_Fn-UseC_-HR-Employee-Attrition" description="Conexão com a consulta 'WA_Fn-UseC_-HR-Employee-Attrition' na pasta de trabalho." type="5" refreshedVersion="7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<sst xmlns="http://schemas.openxmlformats.org/spreadsheetml/2006/main" count="13374" uniqueCount="109">
  <si>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</si>
  <si>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</si>
  <si>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</si>
  <si>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</si>
  <si>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</si>
  <si>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</si>
  <si>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</si>
  <si>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</si>
  <si>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</si>
  <si>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</si>
  <si>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</si>
  <si>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</si>
  <si>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</si>
  <si>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</si>
  <si>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</si>
  <si>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</si>
  <si>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</si>
  <si>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</si>
  <si>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</si>
  <si>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</si>
  <si>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</si>
  <si>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</si>
  <si>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</si>
  <si>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</si>
  <si>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</si>
  <si>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</si>
  <si>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</si>
  <si>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</si>
  <si>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</si>
  <si>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</si>
  <si>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</si>
  <si>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</si>
  <si>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</si>
  <si>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</si>
  <si>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</si>
  <si>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</si>
  <si>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</si>
  <si>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</si>
  <si>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</si>
  <si>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</si>
  <si>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</si>
  <si>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</si>
  <si>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</si>
  <si>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</si>
  <si>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</si>
  <si>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</si>
  <si>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</si>
  <si>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</si>
  <si>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</si>
  <si>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</si>
  <si>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</si>
  <si>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</si>
  <si>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</si>
  <si>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</si>
  <si>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</si>
  <si>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</si>
  <si>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</si>
  <si>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</si>
  <si>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</si>
  <si>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</si>
  <si>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</si>
  <si>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</si>
  <si>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Contagem de EmployeeNumber</t>
  </si>
  <si>
    <t>Rótulos de Coluna</t>
  </si>
  <si>
    <t>Total Geral</t>
  </si>
  <si>
    <t>Rótulos de Linha</t>
  </si>
  <si>
    <t>Média de Age</t>
  </si>
  <si>
    <t>Total de funcionários</t>
  </si>
  <si>
    <t>Média da idade</t>
  </si>
  <si>
    <t>Total de demissões</t>
  </si>
  <si>
    <t>Funcionários ativos</t>
  </si>
  <si>
    <t>Percentual de demissões</t>
  </si>
  <si>
    <t>Contagem de Age</t>
  </si>
  <si>
    <t>Contagem de EmployeeCount</t>
  </si>
  <si>
    <t>Feminino</t>
  </si>
  <si>
    <t>Masculino</t>
  </si>
  <si>
    <t>Ensino médio</t>
  </si>
  <si>
    <t>Faculdade</t>
  </si>
  <si>
    <t>Mestrado</t>
  </si>
  <si>
    <t>Doutorado</t>
  </si>
  <si>
    <t>Graduado</t>
  </si>
  <si>
    <t>Cargo</t>
  </si>
  <si>
    <t>Demissões</t>
  </si>
  <si>
    <t>Recursos Humanos (RH)</t>
  </si>
  <si>
    <t>Técnico de Laboratório</t>
  </si>
  <si>
    <t>Gerente</t>
  </si>
  <si>
    <t>Diretor de Pesquisa</t>
  </si>
  <si>
    <t>Executivo de Vendas</t>
  </si>
  <si>
    <t>Representante Comercial</t>
  </si>
  <si>
    <t>Representante de Saúde</t>
  </si>
  <si>
    <t>Diretor de Produção</t>
  </si>
  <si>
    <t>Cientista de Pesquisa</t>
  </si>
  <si>
    <t>Pesquisa e Desenvolvimento (P&amp;D)</t>
  </si>
  <si>
    <t>Vendas</t>
  </si>
  <si>
    <t>Cargos</t>
  </si>
  <si>
    <t>&lt;25</t>
  </si>
  <si>
    <t>25-34</t>
  </si>
  <si>
    <t>35-44</t>
  </si>
  <si>
    <t>45-54</t>
  </si>
  <si>
    <t>55-64</t>
  </si>
  <si>
    <t>Idade</t>
  </si>
  <si>
    <t>Menos de 25</t>
  </si>
  <si>
    <t>Estado Civil</t>
  </si>
  <si>
    <t>Divorciado</t>
  </si>
  <si>
    <t>Casado</t>
  </si>
  <si>
    <t>Solteiro</t>
  </si>
  <si>
    <t>Gênero(PT-BR)</t>
  </si>
  <si>
    <t>Campo Educacional(PT-BR)</t>
  </si>
  <si>
    <t>Departamento(PT-BR)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</si>
</sst>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color theme="0"/>
        <name val="Arial"/>
        <family val="2"/>
        <scheme val="none"/>
      </font>
      <fill>
        <patternFill patternType="solid">
          <bgColor rgb="FF0F172A"/>
        </patternFill>
      </fill>
    </dxf>
    <dxf>
      <font>
        <color theme="0"/>
        <name val="Arial"/>
        <family val="2"/>
        <scheme val="none"/>
      </font>
      <fill>
        <patternFill patternType="solid">
          <bgColor rgb="FF0F172A"/>
        </patternFill>
      </fill>
    </dxf>
  </dxfs>
  <tableStyles count="1" defaultTableStyle="TableStyleMedium2" defaultPivotStyle="PivotStyleLight16">
    <tableStyle name="Estilo_genero" pivot="0" table="0" count="5" xr9:uid="{6622CAC7-53D4-4544-90DB-3085A3A20571}">
      <tableStyleElement type="wholeTable" dxfId="14"/>
      <tableStyleElement type="headerRow" dxfId="13"/>
    </tableStyle>
  </tableStyles>
  <colors>
    <mruColors>
      <color rgb="FF22C55E"/>
      <color rgb="FF3D3D3D"/>
      <color rgb="FF6D6D6D"/>
      <color rgb="FF334155"/>
      <color rgb="FF3B82F6"/>
      <color rgb="FF06B6D4"/>
      <color rgb="FFF97316"/>
      <color rgb="FFEF4444"/>
      <color rgb="FFF8FAFC"/>
      <color rgb="FF8B5CF6"/>
    </mruColors>
  </colors>
  <extLst>
    <ext xmlns:x14="http://schemas.microsoft.com/office/spreadsheetml/2009/9/main" uri="{46F421CA-312F-682f-3DD2-61675219B42D}">
      <x14:dxfs count="3">
        <dxf>
          <fill>
            <patternFill patternType="solid">
              <fgColor auto="1"/>
              <bgColor rgb="FF334155"/>
            </patternFill>
          </fill>
        </dxf>
        <dxf>
          <font>
            <b/>
            <i val="0"/>
            <name val="Calibri"/>
            <family val="2"/>
            <scheme val="minor"/>
          </font>
          <fill>
            <patternFill>
              <bgColor rgb="FF334155"/>
            </patternFill>
          </fill>
        </dxf>
        <dxf>
          <fill>
            <patternFill patternType="solid">
              <fgColor auto="1"/>
              <bgColor rgb="FF3D3D3D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_genero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A32D8D"/>
                  </a:gs>
                  <a:gs pos="100000">
                    <a:srgbClr val="D937A3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9B-4E0C-AE9B-43B3923AA0F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9B-4E0C-AE9B-43B3923AA0F5}"/>
              </c:ext>
            </c:extLst>
          </c:dPt>
          <c:val>
            <c:numRef>
              <c:f>analise_genero!$C$9:$C$10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9B-4E0C-AE9B-43B3923A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852221657743563"/>
          <c:y val="0.14299825474570979"/>
          <c:w val="0.6814793465942397"/>
          <c:h val="0.71400349050858036"/>
        </c:manualLayout>
      </c:layout>
      <c:doughnutChart>
        <c:varyColors val="1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explosion val="2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7-4DB4-862D-BBF095D76FD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rgbClr val="244072"/>
                  </a:gs>
                  <a:gs pos="51000">
                    <a:srgbClr val="3815B7"/>
                  </a:gs>
                  <a:gs pos="60000">
                    <a:srgbClr val="3815B7"/>
                  </a:gs>
                  <a:gs pos="100000">
                    <a:srgbClr val="244072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7-4DB4-862D-BBF095D76FDE}"/>
              </c:ext>
            </c:extLst>
          </c:dPt>
          <c:val>
            <c:numRef>
              <c:f>analise_genero!$C$9:$C$10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B7-4DB4-862D-BBF095D7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22773273049021"/>
          <c:y val="5.5073741567094485E-2"/>
          <c:w val="0.68528139506302788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analise_educacao!$D$12:$H$12</c:f>
              <c:strCache>
                <c:ptCount val="5"/>
                <c:pt idx="0">
                  <c:v>Ensino médio</c:v>
                </c:pt>
                <c:pt idx="1">
                  <c:v>Faculdade</c:v>
                </c:pt>
                <c:pt idx="2">
                  <c:v>Graduado</c:v>
                </c:pt>
                <c:pt idx="3">
                  <c:v>Mestrado</c:v>
                </c:pt>
                <c:pt idx="4">
                  <c:v>Doutorado</c:v>
                </c:pt>
              </c:strCache>
            </c:strRef>
          </c:cat>
          <c:val>
            <c:numRef>
              <c:f>analise_educacao!$D$13:$H$13</c:f>
              <c:numCache>
                <c:formatCode>General</c:formatCode>
                <c:ptCount val="5"/>
                <c:pt idx="0">
                  <c:v>31</c:v>
                </c:pt>
                <c:pt idx="1">
                  <c:v>44</c:v>
                </c:pt>
                <c:pt idx="2">
                  <c:v>99</c:v>
                </c:pt>
                <c:pt idx="3">
                  <c:v>58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1-4B81-A900-46875A78C8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7422191"/>
        <c:axId val="1657423439"/>
      </c:barChart>
      <c:catAx>
        <c:axId val="165742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423439"/>
        <c:crosses val="autoZero"/>
        <c:auto val="1"/>
        <c:lblAlgn val="ctr"/>
        <c:lblOffset val="100"/>
        <c:noMultiLvlLbl val="0"/>
      </c:catAx>
      <c:valAx>
        <c:axId val="1657423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5742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63984159002839E-2"/>
          <c:y val="8.9979550102249492E-2"/>
          <c:w val="0.90918469700387505"/>
          <c:h val="0.5405452232581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analise_departamento!$K$3</c:f>
              <c:strCache>
                <c:ptCount val="1"/>
                <c:pt idx="0">
                  <c:v>Demissões</c:v>
                </c:pt>
              </c:strCache>
            </c:strRef>
          </c:tx>
          <c:spPr>
            <a:solidFill>
              <a:srgbClr val="22C55E"/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analise_departamento!$J$4:$J$6</c:f>
              <c:strCache>
                <c:ptCount val="3"/>
                <c:pt idx="0">
                  <c:v>Recursos Humanos (RH)</c:v>
                </c:pt>
                <c:pt idx="1">
                  <c:v>Pesquisa e Desenvolvimento (P&amp;D)</c:v>
                </c:pt>
                <c:pt idx="2">
                  <c:v>Vendas</c:v>
                </c:pt>
              </c:strCache>
            </c:strRef>
          </c:cat>
          <c:val>
            <c:numRef>
              <c:f>analise_departamento!$K$4:$K$6</c:f>
              <c:numCache>
                <c:formatCode>0.00%</c:formatCode>
                <c:ptCount val="3"/>
                <c:pt idx="0">
                  <c:v>5.0632911392405063E-2</c:v>
                </c:pt>
                <c:pt idx="1">
                  <c:v>0.56118143459915615</c:v>
                </c:pt>
                <c:pt idx="2">
                  <c:v>0.3881856540084388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9-4710-AD4E-90BF6CC1A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232"/>
        <c:axId val="275632"/>
      </c:barChart>
      <c:catAx>
        <c:axId val="26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5632"/>
        <c:crosses val="autoZero"/>
        <c:auto val="1"/>
        <c:lblAlgn val="ctr"/>
        <c:lblOffset val="100"/>
        <c:noMultiLvlLbl val="0"/>
      </c:catAx>
      <c:valAx>
        <c:axId val="2756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6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451443569553807E-2"/>
          <c:y val="5.9353422168382797E-2"/>
          <c:w val="0.91870718904039439"/>
          <c:h val="0.784502321825156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analise_idade!$I$4</c:f>
              <c:strCache>
                <c:ptCount val="1"/>
                <c:pt idx="0">
                  <c:v>Demissões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analise_idade!$H$5:$H$9</c:f>
              <c:strCache>
                <c:ptCount val="5"/>
                <c:pt idx="0">
                  <c:v>Menos de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</c:strCache>
            </c:strRef>
          </c:cat>
          <c:val>
            <c:numRef>
              <c:f>analise_idade!$I$5:$I$9</c:f>
              <c:numCache>
                <c:formatCode>General</c:formatCode>
                <c:ptCount val="5"/>
                <c:pt idx="0">
                  <c:v>38</c:v>
                </c:pt>
                <c:pt idx="1">
                  <c:v>112</c:v>
                </c:pt>
                <c:pt idx="2">
                  <c:v>505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3-4B8E-8ECC-D6423A714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1838018831"/>
        <c:axId val="1838020911"/>
      </c:barChart>
      <c:catAx>
        <c:axId val="183801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8020911"/>
        <c:crosses val="autoZero"/>
        <c:auto val="1"/>
        <c:lblAlgn val="ctr"/>
        <c:lblOffset val="100"/>
        <c:noMultiLvlLbl val="0"/>
      </c:catAx>
      <c:valAx>
        <c:axId val="1838020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80188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78149606299213"/>
          <c:y val="0.14189814814814813"/>
          <c:w val="0.62569072615923005"/>
          <c:h val="0.723603455818022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analise_cargo!$H$4:$H$8</c:f>
              <c:strCache>
                <c:ptCount val="5"/>
                <c:pt idx="0">
                  <c:v>Técnico de Laboratório</c:v>
                </c:pt>
                <c:pt idx="1">
                  <c:v>Executivo de Vendas</c:v>
                </c:pt>
                <c:pt idx="2">
                  <c:v>Cientista de Pesquisa</c:v>
                </c:pt>
                <c:pt idx="3">
                  <c:v>Representante Comercial</c:v>
                </c:pt>
                <c:pt idx="4">
                  <c:v>Recursos Humanos (RH)</c:v>
                </c:pt>
              </c:strCache>
            </c:strRef>
          </c:cat>
          <c:val>
            <c:numRef>
              <c:f>analise_cargo!$I$4:$I$8</c:f>
              <c:numCache>
                <c:formatCode>General</c:formatCode>
                <c:ptCount val="5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9-4183-A0BD-4E8CC033ED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5109248"/>
        <c:axId val="1895106752"/>
      </c:barChart>
      <c:catAx>
        <c:axId val="189510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106752"/>
        <c:crosses val="autoZero"/>
        <c:auto val="1"/>
        <c:lblAlgn val="ctr"/>
        <c:lblOffset val="100"/>
        <c:noMultiLvlLbl val="0"/>
      </c:catAx>
      <c:valAx>
        <c:axId val="1895106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51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F8CB628B-613D-4A49-B43B-D4701BB7EDD0}">
          <cx:tx>
            <cx:txData>
              <cx:f>_xlchart.v2.1</cx:f>
              <cx:v>Demissões</cx:v>
            </cx:txData>
          </cx:tx>
          <cx:spPr>
            <a:solidFill>
              <a:srgbClr val="22C55E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chemeClr val="bg1"/>
                    </a:solidFill>
                  </a:defRPr>
                </a:pPr>
                <a:endParaRPr lang="pt-BR" sz="10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0000000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solidFill>
                  <a:schemeClr val="bg1"/>
                </a:solidFill>
              </a:defRPr>
            </a:pPr>
            <a:endParaRPr lang="pt-BR" sz="105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5.svg"/><Relationship Id="rId12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microsoft.com/office/2014/relationships/chartEx" Target="../charts/chartEx1.xml"/><Relationship Id="rId5" Type="http://schemas.openxmlformats.org/officeDocument/2006/relationships/image" Target="../media/image3.svg"/><Relationship Id="rId10" Type="http://schemas.openxmlformats.org/officeDocument/2006/relationships/chart" Target="../charts/chart5.xml"/><Relationship Id="rId4" Type="http://schemas.openxmlformats.org/officeDocument/2006/relationships/image" Target="../media/image2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0</xdr:row>
      <xdr:rowOff>152400</xdr:rowOff>
    </xdr:from>
    <xdr:to>
      <xdr:col>23</xdr:col>
      <xdr:colOff>76200</xdr:colOff>
      <xdr:row>37</xdr:row>
      <xdr:rowOff>76200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0845A6-6853-45C7-8EDA-7E0B5BA24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9375" y="152400"/>
          <a:ext cx="12639675" cy="6972300"/>
        </a:xfrm>
        <a:prstGeom prst="rect">
          <a:avLst/>
        </a:prstGeom>
      </xdr:spPr>
    </xdr:pic>
    <xdr:clientData/>
  </xdr:twoCellAnchor>
  <xdr:twoCellAnchor>
    <xdr:from>
      <xdr:col>7</xdr:col>
      <xdr:colOff>390525</xdr:colOff>
      <xdr:row>5</xdr:row>
      <xdr:rowOff>175590</xdr:rowOff>
    </xdr:from>
    <xdr:to>
      <xdr:col>9</xdr:col>
      <xdr:colOff>285750</xdr:colOff>
      <xdr:row>8</xdr:row>
      <xdr:rowOff>89865</xdr:rowOff>
    </xdr:to>
    <xdr:sp macro="" textlink="analise_geral!B15">
      <xdr:nvSpPr>
        <xdr:cNvPr id="6" name="CaixaDeTexto 5">
          <a:extLst>
            <a:ext uri="{FF2B5EF4-FFF2-40B4-BE49-F238E27FC236}">
              <a16:creationId xmlns:a16="http://schemas.microsoft.com/office/drawing/2014/main" id="{2E7C4151-0FB7-463E-962B-E35B4F438951}"/>
            </a:ext>
          </a:extLst>
        </xdr:cNvPr>
        <xdr:cNvSpPr txBox="1"/>
      </xdr:nvSpPr>
      <xdr:spPr>
        <a:xfrm>
          <a:off x="4657725" y="1128090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8775ED-E171-4692-AF19-7AEE66C4E591}" type="TxLink">
            <a:rPr lang="en-US" sz="2000" b="0" i="0" u="none" strike="noStrike">
              <a:solidFill>
                <a:srgbClr val="F8FAFC"/>
              </a:solidFill>
              <a:latin typeface="Arial Black" panose="020B0A04020102020204" pitchFamily="34" charset="0"/>
              <a:ea typeface="Calibri"/>
              <a:cs typeface="Calibri"/>
            </a:rPr>
            <a:pPr/>
            <a:t>1470</a:t>
          </a:fld>
          <a:endParaRPr lang="pt-BR" sz="2000">
            <a:solidFill>
              <a:srgbClr val="F8FAFC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151882</xdr:colOff>
      <xdr:row>5</xdr:row>
      <xdr:rowOff>185115</xdr:rowOff>
    </xdr:from>
    <xdr:to>
      <xdr:col>13</xdr:col>
      <xdr:colOff>47107</xdr:colOff>
      <xdr:row>8</xdr:row>
      <xdr:rowOff>99390</xdr:rowOff>
    </xdr:to>
    <xdr:sp macro="" textlink="analise_geral!D15">
      <xdr:nvSpPr>
        <xdr:cNvPr id="7" name="CaixaDeTexto 6">
          <a:extLst>
            <a:ext uri="{FF2B5EF4-FFF2-40B4-BE49-F238E27FC236}">
              <a16:creationId xmlns:a16="http://schemas.microsoft.com/office/drawing/2014/main" id="{CE8E8050-5A93-44C6-85DD-D476630BF347}"/>
            </a:ext>
          </a:extLst>
        </xdr:cNvPr>
        <xdr:cNvSpPr txBox="1"/>
      </xdr:nvSpPr>
      <xdr:spPr>
        <a:xfrm>
          <a:off x="6857482" y="1137615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029C221-C9A9-433C-9BF0-275F730AA033}" type="TxLink">
            <a:rPr lang="en-US" sz="2000" b="0" i="0" u="none" strike="noStrike">
              <a:solidFill>
                <a:srgbClr val="F8FAFC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237</a:t>
          </a:fld>
          <a:endParaRPr lang="pt-BR" sz="2000" b="0" i="0" u="none" strike="noStrike">
            <a:solidFill>
              <a:srgbClr val="F8FAFC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465689</xdr:colOff>
      <xdr:row>5</xdr:row>
      <xdr:rowOff>185115</xdr:rowOff>
    </xdr:from>
    <xdr:to>
      <xdr:col>16</xdr:col>
      <xdr:colOff>360914</xdr:colOff>
      <xdr:row>8</xdr:row>
      <xdr:rowOff>99390</xdr:rowOff>
    </xdr:to>
    <xdr:sp macro="" textlink="analise_geral!E15">
      <xdr:nvSpPr>
        <xdr:cNvPr id="8" name="CaixaDeTexto 7">
          <a:extLst>
            <a:ext uri="{FF2B5EF4-FFF2-40B4-BE49-F238E27FC236}">
              <a16:creationId xmlns:a16="http://schemas.microsoft.com/office/drawing/2014/main" id="{D99C6C2B-E7D5-4621-B6E6-77E141E521CA}"/>
            </a:ext>
          </a:extLst>
        </xdr:cNvPr>
        <xdr:cNvSpPr txBox="1"/>
      </xdr:nvSpPr>
      <xdr:spPr>
        <a:xfrm>
          <a:off x="9000089" y="1137615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46BB399-E315-468E-AA32-2E14F71A190F}" type="TxLink">
            <a:rPr lang="en-US" sz="2000" b="0" i="0" u="none" strike="noStrike">
              <a:solidFill>
                <a:srgbClr val="F8FAFC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1233</a:t>
          </a:fld>
          <a:endParaRPr lang="pt-BR" sz="2000" b="0" i="0" u="none" strike="noStrike">
            <a:solidFill>
              <a:srgbClr val="F8FAFC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227046</xdr:colOff>
      <xdr:row>5</xdr:row>
      <xdr:rowOff>175590</xdr:rowOff>
    </xdr:from>
    <xdr:to>
      <xdr:col>20</xdr:col>
      <xdr:colOff>375720</xdr:colOff>
      <xdr:row>8</xdr:row>
      <xdr:rowOff>85725</xdr:rowOff>
    </xdr:to>
    <xdr:sp macro="" textlink="analise_geral!F15">
      <xdr:nvSpPr>
        <xdr:cNvPr id="9" name="CaixaDeTexto 8">
          <a:extLst>
            <a:ext uri="{FF2B5EF4-FFF2-40B4-BE49-F238E27FC236}">
              <a16:creationId xmlns:a16="http://schemas.microsoft.com/office/drawing/2014/main" id="{8BAA125D-3F2F-4664-9E8D-C5DF84CF19DD}"/>
            </a:ext>
          </a:extLst>
        </xdr:cNvPr>
        <xdr:cNvSpPr txBox="1"/>
      </xdr:nvSpPr>
      <xdr:spPr>
        <a:xfrm>
          <a:off x="11199846" y="1128090"/>
          <a:ext cx="1367874" cy="481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92C6497-F9E3-4E7E-8551-5242A2E2C792}" type="TxLink">
            <a:rPr lang="en-US" sz="2000" b="0" i="0" u="none" strike="noStrike">
              <a:solidFill>
                <a:srgbClr val="F8FAFC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16,12%</a:t>
          </a:fld>
          <a:endParaRPr lang="pt-BR" sz="2000" b="0" i="0" u="none" strike="noStrike">
            <a:solidFill>
              <a:srgbClr val="F8FAFC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21</xdr:col>
      <xdr:colOff>594276</xdr:colOff>
      <xdr:row>5</xdr:row>
      <xdr:rowOff>185115</xdr:rowOff>
    </xdr:from>
    <xdr:to>
      <xdr:col>22</xdr:col>
      <xdr:colOff>1152525</xdr:colOff>
      <xdr:row>8</xdr:row>
      <xdr:rowOff>95250</xdr:rowOff>
    </xdr:to>
    <xdr:sp macro="" textlink="analise_geral!C15">
      <xdr:nvSpPr>
        <xdr:cNvPr id="10" name="CaixaDeTexto 9">
          <a:extLst>
            <a:ext uri="{FF2B5EF4-FFF2-40B4-BE49-F238E27FC236}">
              <a16:creationId xmlns:a16="http://schemas.microsoft.com/office/drawing/2014/main" id="{A080E93D-7855-448C-A37D-D736A0C9B79C}"/>
            </a:ext>
          </a:extLst>
        </xdr:cNvPr>
        <xdr:cNvSpPr txBox="1"/>
      </xdr:nvSpPr>
      <xdr:spPr>
        <a:xfrm>
          <a:off x="13395876" y="1137615"/>
          <a:ext cx="1367874" cy="481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EB5DDC8-F0F8-4740-B150-B08161D7DF55}" type="TxLink">
            <a:rPr lang="en-US" sz="2000" b="0" i="0" u="none" strike="noStrike">
              <a:solidFill>
                <a:srgbClr val="F8FAFC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36,9</a:t>
          </a:fld>
          <a:endParaRPr lang="pt-BR" sz="2000" b="0" i="0" u="none" strike="noStrike">
            <a:solidFill>
              <a:srgbClr val="F8FAFC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138490</xdr:colOff>
      <xdr:row>15</xdr:row>
      <xdr:rowOff>80340</xdr:rowOff>
    </xdr:from>
    <xdr:to>
      <xdr:col>8</xdr:col>
      <xdr:colOff>552450</xdr:colOff>
      <xdr:row>20</xdr:row>
      <xdr:rowOff>104775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292C12D-8751-42D6-9B42-6366F6D57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548064</xdr:colOff>
      <xdr:row>15</xdr:row>
      <xdr:rowOff>23190</xdr:rowOff>
    </xdr:from>
    <xdr:to>
      <xdr:col>12</xdr:col>
      <xdr:colOff>352424</xdr:colOff>
      <xdr:row>20</xdr:row>
      <xdr:rowOff>47625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62ABAA7-AE59-48AD-9324-B209DC5F8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504825</xdr:colOff>
      <xdr:row>16</xdr:row>
      <xdr:rowOff>114300</xdr:rowOff>
    </xdr:from>
    <xdr:to>
      <xdr:col>9</xdr:col>
      <xdr:colOff>323850</xdr:colOff>
      <xdr:row>18</xdr:row>
      <xdr:rowOff>161925</xdr:rowOff>
    </xdr:to>
    <xdr:pic>
      <xdr:nvPicPr>
        <xdr:cNvPr id="14" name="Gráfico 13" descr="Perfil de mulher com preenchimento sólido">
          <a:extLst>
            <a:ext uri="{FF2B5EF4-FFF2-40B4-BE49-F238E27FC236}">
              <a16:creationId xmlns:a16="http://schemas.microsoft.com/office/drawing/2014/main" id="{3E99C251-A092-4B81-83FB-1E0DEB78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381625" y="316230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10</xdr:col>
      <xdr:colOff>321450</xdr:colOff>
      <xdr:row>16</xdr:row>
      <xdr:rowOff>83325</xdr:rowOff>
    </xdr:from>
    <xdr:to>
      <xdr:col>11</xdr:col>
      <xdr:colOff>133350</xdr:colOff>
      <xdr:row>18</xdr:row>
      <xdr:rowOff>123825</xdr:rowOff>
    </xdr:to>
    <xdr:pic>
      <xdr:nvPicPr>
        <xdr:cNvPr id="16" name="Gráfico 15" descr="Perfil masculino com preenchimento sólido">
          <a:extLst>
            <a:ext uri="{FF2B5EF4-FFF2-40B4-BE49-F238E27FC236}">
              <a16:creationId xmlns:a16="http://schemas.microsoft.com/office/drawing/2014/main" id="{7708E501-CBF3-484B-BBF4-44F05D6B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417450" y="3131325"/>
          <a:ext cx="421500" cy="421500"/>
        </a:xfrm>
        <a:prstGeom prst="rect">
          <a:avLst/>
        </a:prstGeom>
      </xdr:spPr>
    </xdr:pic>
    <xdr:clientData/>
  </xdr:twoCellAnchor>
  <xdr:twoCellAnchor>
    <xdr:from>
      <xdr:col>7</xdr:col>
      <xdr:colOff>348039</xdr:colOff>
      <xdr:row>13</xdr:row>
      <xdr:rowOff>118440</xdr:rowOff>
    </xdr:from>
    <xdr:to>
      <xdr:col>9</xdr:col>
      <xdr:colOff>243264</xdr:colOff>
      <xdr:row>16</xdr:row>
      <xdr:rowOff>32715</xdr:rowOff>
    </xdr:to>
    <xdr:sp macro="" textlink="analise_genero!B9">
      <xdr:nvSpPr>
        <xdr:cNvPr id="18" name="CaixaDeTexto 17">
          <a:extLst>
            <a:ext uri="{FF2B5EF4-FFF2-40B4-BE49-F238E27FC236}">
              <a16:creationId xmlns:a16="http://schemas.microsoft.com/office/drawing/2014/main" id="{951B8029-0CA3-4705-B3A0-996F7D6ABBDD}"/>
            </a:ext>
          </a:extLst>
        </xdr:cNvPr>
        <xdr:cNvSpPr txBox="1"/>
      </xdr:nvSpPr>
      <xdr:spPr>
        <a:xfrm>
          <a:off x="4615239" y="2594940"/>
          <a:ext cx="111442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245774B-A1DF-41A3-9847-F2ED8C80CCD0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0" indent="0"/>
            <a:t>588</a:t>
          </a:fld>
          <a:endParaRPr lang="pt-BR" sz="1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233739</xdr:colOff>
      <xdr:row>13</xdr:row>
      <xdr:rowOff>118440</xdr:rowOff>
    </xdr:from>
    <xdr:to>
      <xdr:col>12</xdr:col>
      <xdr:colOff>323850</xdr:colOff>
      <xdr:row>16</xdr:row>
      <xdr:rowOff>32715</xdr:rowOff>
    </xdr:to>
    <xdr:sp macro="" textlink="analise_genero!B10">
      <xdr:nvSpPr>
        <xdr:cNvPr id="19" name="CaixaDeTexto 18">
          <a:extLst>
            <a:ext uri="{FF2B5EF4-FFF2-40B4-BE49-F238E27FC236}">
              <a16:creationId xmlns:a16="http://schemas.microsoft.com/office/drawing/2014/main" id="{8AF09135-CEFB-46CF-AE82-11CCD4AE36E4}"/>
            </a:ext>
          </a:extLst>
        </xdr:cNvPr>
        <xdr:cNvSpPr txBox="1"/>
      </xdr:nvSpPr>
      <xdr:spPr>
        <a:xfrm>
          <a:off x="6939339" y="2594940"/>
          <a:ext cx="699711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23557C9-EBD1-4145-8B88-70A3B869E2AC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marL="0" indent="0"/>
            <a:t>882</a:t>
          </a:fld>
          <a:endParaRPr lang="pt-BR" sz="1400" b="1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95249</xdr:colOff>
      <xdr:row>12</xdr:row>
      <xdr:rowOff>28575</xdr:rowOff>
    </xdr:from>
    <xdr:to>
      <xdr:col>19</xdr:col>
      <xdr:colOff>66675</xdr:colOff>
      <xdr:row>22</xdr:row>
      <xdr:rowOff>38099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982B23C-6E04-4973-989D-B5435D810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200024</xdr:colOff>
      <xdr:row>26</xdr:row>
      <xdr:rowOff>76200</xdr:rowOff>
    </xdr:from>
    <xdr:to>
      <xdr:col>12</xdr:col>
      <xdr:colOff>285749</xdr:colOff>
      <xdr:row>35</xdr:row>
      <xdr:rowOff>85725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0D171C2-966E-4F6F-944A-C79DE1A1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171450</xdr:colOff>
      <xdr:row>25</xdr:row>
      <xdr:rowOff>9525</xdr:rowOff>
    </xdr:from>
    <xdr:to>
      <xdr:col>18</xdr:col>
      <xdr:colOff>247650</xdr:colOff>
      <xdr:row>35</xdr:row>
      <xdr:rowOff>85725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49EB57C-9630-45AE-84B8-8A20EF84F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95250</xdr:colOff>
      <xdr:row>25</xdr:row>
      <xdr:rowOff>180975</xdr:rowOff>
    </xdr:from>
    <xdr:to>
      <xdr:col>22</xdr:col>
      <xdr:colOff>1104900</xdr:colOff>
      <xdr:row>35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7" name="Gráfico 26">
              <a:extLst>
                <a:ext uri="{FF2B5EF4-FFF2-40B4-BE49-F238E27FC236}">
                  <a16:creationId xmlns:a16="http://schemas.microsoft.com/office/drawing/2014/main" id="{D343328E-AAC6-413F-839E-47735454EC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7650" y="4943475"/>
              <a:ext cx="3038475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276225</xdr:colOff>
      <xdr:row>6</xdr:row>
      <xdr:rowOff>0</xdr:rowOff>
    </xdr:from>
    <xdr:to>
      <xdr:col>6</xdr:col>
      <xdr:colOff>190500</xdr:colOff>
      <xdr:row>11</xdr:row>
      <xdr:rowOff>104776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Gênero(PT-BR)">
              <a:extLst>
                <a:ext uri="{FF2B5EF4-FFF2-40B4-BE49-F238E27FC236}">
                  <a16:creationId xmlns:a16="http://schemas.microsoft.com/office/drawing/2014/main" id="{1EA32E17-E0B4-4495-8CEB-EA384506448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ênero(PT-BR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4625" y="1143000"/>
              <a:ext cx="1133475" cy="1057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 editAs="absolute">
    <xdr:from>
      <xdr:col>4</xdr:col>
      <xdr:colOff>233739</xdr:colOff>
      <xdr:row>12</xdr:row>
      <xdr:rowOff>133349</xdr:rowOff>
    </xdr:from>
    <xdr:to>
      <xdr:col>6</xdr:col>
      <xdr:colOff>274539</xdr:colOff>
      <xdr:row>24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Campo Educacional(PT-BR)">
              <a:extLst>
                <a:ext uri="{FF2B5EF4-FFF2-40B4-BE49-F238E27FC236}">
                  <a16:creationId xmlns:a16="http://schemas.microsoft.com/office/drawing/2014/main" id="{5079CBD3-EB74-488F-829C-28A55DF34F5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o Educacional(PT-BR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2139" y="2419349"/>
              <a:ext cx="1260000" cy="2219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 editAs="absolute">
    <xdr:from>
      <xdr:col>4</xdr:col>
      <xdr:colOff>247650</xdr:colOff>
      <xdr:row>25</xdr:row>
      <xdr:rowOff>152402</xdr:rowOff>
    </xdr:from>
    <xdr:to>
      <xdr:col>6</xdr:col>
      <xdr:colOff>209549</xdr:colOff>
      <xdr:row>34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Departamento(PT-BR)">
              <a:extLst>
                <a:ext uri="{FF2B5EF4-FFF2-40B4-BE49-F238E27FC236}">
                  <a16:creationId xmlns:a16="http://schemas.microsoft.com/office/drawing/2014/main" id="{8AD3A3FB-5E3A-42E4-81DF-4464822FED2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(PT-BR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6050" y="4914902"/>
              <a:ext cx="1181099" cy="1647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>
    <xdr:from>
      <xdr:col>18</xdr:col>
      <xdr:colOff>561974</xdr:colOff>
      <xdr:row>11</xdr:row>
      <xdr:rowOff>19050</xdr:rowOff>
    </xdr:from>
    <xdr:to>
      <xdr:col>23</xdr:col>
      <xdr:colOff>219075</xdr:colOff>
      <xdr:row>23</xdr:row>
      <xdr:rowOff>47624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8E727B4-2F11-4CF9-A459-A6A4B7380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CHAU" refreshedDate="46093.045905671293" createdVersion="7" refreshedVersion="7" minRefreshableVersion="3" recordCount="1470" xr:uid="{0C359D65-D17D-4AED-81CC-A00CF842DD5E}">
  <cacheSource type="worksheet">
    <worksheetSource name="tbRh"/>
  </cacheSource>
  <cacheFields count="39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autoStart="0" startNum="25" endNum="60" groupInterval="10"/>
        <groupItems count="6">
          <s v="&lt;25"/>
          <s v="25-34"/>
          <s v="35-44"/>
          <s v="45-54"/>
          <s v="55-64"/>
          <s v="&gt;65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4">
        <s v="Female"/>
        <s v="Male"/>
        <s v="Feminino" u="1"/>
        <s v="Masculino" u="1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_group" numFmtId="0">
      <sharedItems containsNonDate="0" containsString="0" containsBlank="1"/>
    </cacheField>
    <cacheField name="Gênero(PT-BR)" numFmtId="0">
      <sharedItems count="2">
        <s v="Feminino"/>
        <s v="Masculino"/>
      </sharedItems>
    </cacheField>
    <cacheField name="Campo Educacional(PT-BR)" numFmtId="0">
      <sharedItems count="6">
        <s v="Ciências da Vida"/>
        <s v="Outro"/>
        <s v="Médico"/>
        <s v="Marketing"/>
        <s v="Curso Técnico"/>
        <s v="Recursos Humanos"/>
      </sharedItems>
    </cacheField>
    <cacheField name="Departamento(PT-BR)" numFmtId="0">
      <sharedItems count="3">
        <s v="Vendas"/>
        <s v="Pesquisa e Desenvolvimento(P&amp;D)"/>
        <s v="Recursos Humanos(RH)"/>
      </sharedItems>
    </cacheField>
  </cacheFields>
  <extLst>
    <ext xmlns:x14="http://schemas.microsoft.com/office/spreadsheetml/2009/9/main" uri="{725AE2AE-9491-48be-B2B4-4EB974FC3084}">
      <x14:pivotCacheDefinition pivotCacheId="8477353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x v="0"/>
    <s v="Life Sciences"/>
    <n v="1"/>
    <n v="1"/>
    <n v="2"/>
    <x v="0"/>
    <n v="94"/>
    <n v="3"/>
    <n v="2"/>
    <x v="0"/>
    <n v="4"/>
    <x v="0"/>
    <n v="5993"/>
    <n v="19479"/>
    <n v="8"/>
    <s v="Y"/>
    <s v="Yes"/>
    <n v="11"/>
    <n v="3"/>
    <n v="1"/>
    <n v="80"/>
    <n v="0"/>
    <n v="8"/>
    <n v="0"/>
    <n v="1"/>
    <n v="6"/>
    <n v="4"/>
    <n v="0"/>
    <n v="5"/>
    <m/>
    <x v="0"/>
    <x v="0"/>
    <x v="0"/>
  </r>
  <r>
    <x v="1"/>
    <x v="1"/>
    <s v="Travel_Frequently"/>
    <n v="279"/>
    <x v="1"/>
    <n v="8"/>
    <x v="1"/>
    <s v="Life Sciences"/>
    <n v="1"/>
    <n v="2"/>
    <n v="3"/>
    <x v="1"/>
    <n v="61"/>
    <n v="2"/>
    <n v="2"/>
    <x v="1"/>
    <n v="2"/>
    <x v="1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  <x v="1"/>
    <x v="0"/>
    <x v="1"/>
  </r>
  <r>
    <x v="2"/>
    <x v="0"/>
    <s v="Travel_Rarely"/>
    <n v="1373"/>
    <x v="1"/>
    <n v="2"/>
    <x v="0"/>
    <s v="Other"/>
    <n v="1"/>
    <n v="4"/>
    <n v="4"/>
    <x v="1"/>
    <n v="92"/>
    <n v="2"/>
    <n v="1"/>
    <x v="2"/>
    <n v="3"/>
    <x v="0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  <x v="1"/>
    <x v="1"/>
    <x v="1"/>
  </r>
  <r>
    <x v="3"/>
    <x v="1"/>
    <s v="Travel_Frequently"/>
    <n v="1392"/>
    <x v="1"/>
    <n v="3"/>
    <x v="2"/>
    <s v="Life Sciences"/>
    <n v="1"/>
    <n v="5"/>
    <n v="4"/>
    <x v="0"/>
    <n v="56"/>
    <n v="3"/>
    <n v="1"/>
    <x v="1"/>
    <n v="3"/>
    <x v="1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  <x v="0"/>
    <x v="0"/>
    <x v="1"/>
  </r>
  <r>
    <x v="4"/>
    <x v="1"/>
    <s v="Travel_Rarely"/>
    <n v="591"/>
    <x v="1"/>
    <n v="2"/>
    <x v="1"/>
    <s v="Medical"/>
    <n v="1"/>
    <n v="7"/>
    <n v="1"/>
    <x v="1"/>
    <n v="40"/>
    <n v="3"/>
    <n v="1"/>
    <x v="2"/>
    <n v="2"/>
    <x v="1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  <x v="1"/>
    <x v="2"/>
    <x v="1"/>
  </r>
  <r>
    <x v="5"/>
    <x v="1"/>
    <s v="Travel_Frequently"/>
    <n v="1005"/>
    <x v="1"/>
    <n v="2"/>
    <x v="0"/>
    <s v="Life Sciences"/>
    <n v="1"/>
    <n v="8"/>
    <n v="4"/>
    <x v="1"/>
    <n v="79"/>
    <n v="3"/>
    <n v="1"/>
    <x v="2"/>
    <n v="4"/>
    <x v="0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  <x v="1"/>
    <x v="0"/>
    <x v="1"/>
  </r>
  <r>
    <x v="6"/>
    <x v="1"/>
    <s v="Travel_Rarely"/>
    <n v="1324"/>
    <x v="1"/>
    <n v="3"/>
    <x v="3"/>
    <s v="Medical"/>
    <n v="1"/>
    <n v="10"/>
    <n v="3"/>
    <x v="0"/>
    <n v="81"/>
    <n v="4"/>
    <n v="1"/>
    <x v="2"/>
    <n v="1"/>
    <x v="1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  <x v="0"/>
    <x v="2"/>
    <x v="1"/>
  </r>
  <r>
    <x v="7"/>
    <x v="1"/>
    <s v="Travel_Rarely"/>
    <n v="1358"/>
    <x v="1"/>
    <n v="24"/>
    <x v="1"/>
    <s v="Life Sciences"/>
    <n v="1"/>
    <n v="11"/>
    <n v="4"/>
    <x v="1"/>
    <n v="67"/>
    <n v="3"/>
    <n v="1"/>
    <x v="2"/>
    <n v="3"/>
    <x v="2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  <x v="1"/>
    <x v="0"/>
    <x v="1"/>
  </r>
  <r>
    <x v="8"/>
    <x v="1"/>
    <s v="Travel_Frequently"/>
    <n v="216"/>
    <x v="1"/>
    <n v="23"/>
    <x v="3"/>
    <s v="Life Sciences"/>
    <n v="1"/>
    <n v="12"/>
    <n v="4"/>
    <x v="1"/>
    <n v="44"/>
    <n v="2"/>
    <n v="3"/>
    <x v="3"/>
    <n v="3"/>
    <x v="0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  <x v="1"/>
    <x v="0"/>
    <x v="1"/>
  </r>
  <r>
    <x v="9"/>
    <x v="1"/>
    <s v="Travel_Rarely"/>
    <n v="1299"/>
    <x v="1"/>
    <n v="27"/>
    <x v="3"/>
    <s v="Medical"/>
    <n v="1"/>
    <n v="13"/>
    <n v="3"/>
    <x v="1"/>
    <n v="94"/>
    <n v="3"/>
    <n v="2"/>
    <x v="4"/>
    <n v="3"/>
    <x v="1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  <x v="1"/>
    <x v="2"/>
    <x v="1"/>
  </r>
  <r>
    <x v="10"/>
    <x v="1"/>
    <s v="Travel_Rarely"/>
    <n v="809"/>
    <x v="1"/>
    <n v="16"/>
    <x v="3"/>
    <s v="Medical"/>
    <n v="1"/>
    <n v="14"/>
    <n v="1"/>
    <x v="1"/>
    <n v="84"/>
    <n v="4"/>
    <n v="1"/>
    <x v="2"/>
    <n v="2"/>
    <x v="1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  <x v="1"/>
    <x v="2"/>
    <x v="1"/>
  </r>
  <r>
    <x v="11"/>
    <x v="1"/>
    <s v="Travel_Rarely"/>
    <n v="153"/>
    <x v="1"/>
    <n v="15"/>
    <x v="0"/>
    <s v="Life Sciences"/>
    <n v="1"/>
    <n v="15"/>
    <n v="4"/>
    <x v="0"/>
    <n v="49"/>
    <n v="2"/>
    <n v="2"/>
    <x v="2"/>
    <n v="3"/>
    <x v="0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  <x v="0"/>
    <x v="0"/>
    <x v="1"/>
  </r>
  <r>
    <x v="12"/>
    <x v="1"/>
    <s v="Travel_Rarely"/>
    <n v="670"/>
    <x v="1"/>
    <n v="26"/>
    <x v="1"/>
    <s v="Life Sciences"/>
    <n v="1"/>
    <n v="16"/>
    <n v="1"/>
    <x v="1"/>
    <n v="31"/>
    <n v="3"/>
    <n v="1"/>
    <x v="1"/>
    <n v="3"/>
    <x v="2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  <x v="1"/>
    <x v="0"/>
    <x v="1"/>
  </r>
  <r>
    <x v="13"/>
    <x v="1"/>
    <s v="Travel_Rarely"/>
    <n v="1346"/>
    <x v="1"/>
    <n v="19"/>
    <x v="0"/>
    <s v="Medical"/>
    <n v="1"/>
    <n v="18"/>
    <n v="2"/>
    <x v="1"/>
    <n v="93"/>
    <n v="3"/>
    <n v="1"/>
    <x v="2"/>
    <n v="4"/>
    <x v="2"/>
    <n v="2661"/>
    <n v="8758"/>
    <n v="0"/>
    <s v="Y"/>
    <s v="No"/>
    <n v="11"/>
    <n v="3"/>
    <n v="3"/>
    <n v="80"/>
    <n v="1"/>
    <n v="3"/>
    <n v="2"/>
    <n v="3"/>
    <n v="2"/>
    <n v="2"/>
    <n v="1"/>
    <n v="2"/>
    <m/>
    <x v="1"/>
    <x v="2"/>
    <x v="1"/>
  </r>
  <r>
    <x v="14"/>
    <x v="0"/>
    <s v="Travel_Rarely"/>
    <n v="103"/>
    <x v="1"/>
    <n v="24"/>
    <x v="3"/>
    <s v="Life Sciences"/>
    <n v="1"/>
    <n v="19"/>
    <n v="3"/>
    <x v="1"/>
    <n v="50"/>
    <n v="2"/>
    <n v="1"/>
    <x v="2"/>
    <n v="3"/>
    <x v="0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  <x v="1"/>
    <x v="0"/>
    <x v="1"/>
  </r>
  <r>
    <x v="11"/>
    <x v="1"/>
    <s v="Travel_Rarely"/>
    <n v="1389"/>
    <x v="1"/>
    <n v="21"/>
    <x v="2"/>
    <s v="Life Sciences"/>
    <n v="1"/>
    <n v="20"/>
    <n v="2"/>
    <x v="0"/>
    <n v="51"/>
    <n v="4"/>
    <n v="3"/>
    <x v="3"/>
    <n v="1"/>
    <x v="2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  <x v="0"/>
    <x v="0"/>
    <x v="1"/>
  </r>
  <r>
    <x v="5"/>
    <x v="1"/>
    <s v="Travel_Rarely"/>
    <n v="334"/>
    <x v="1"/>
    <n v="5"/>
    <x v="0"/>
    <s v="Life Sciences"/>
    <n v="1"/>
    <n v="21"/>
    <n v="1"/>
    <x v="1"/>
    <n v="80"/>
    <n v="4"/>
    <n v="1"/>
    <x v="1"/>
    <n v="2"/>
    <x v="2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  <x v="1"/>
    <x v="0"/>
    <x v="1"/>
  </r>
  <r>
    <x v="15"/>
    <x v="1"/>
    <s v="Non-Travel"/>
    <n v="1123"/>
    <x v="1"/>
    <n v="16"/>
    <x v="0"/>
    <s v="Medical"/>
    <n v="1"/>
    <n v="22"/>
    <n v="4"/>
    <x v="1"/>
    <n v="96"/>
    <n v="4"/>
    <n v="1"/>
    <x v="2"/>
    <n v="4"/>
    <x v="2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  <x v="1"/>
    <x v="2"/>
    <x v="1"/>
  </r>
  <r>
    <x v="16"/>
    <x v="1"/>
    <s v="Travel_Rarely"/>
    <n v="1219"/>
    <x v="0"/>
    <n v="2"/>
    <x v="2"/>
    <s v="Life Sciences"/>
    <n v="1"/>
    <n v="23"/>
    <n v="1"/>
    <x v="0"/>
    <n v="78"/>
    <n v="2"/>
    <n v="4"/>
    <x v="5"/>
    <n v="4"/>
    <x v="1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  <x v="0"/>
    <x v="0"/>
    <x v="0"/>
  </r>
  <r>
    <x v="8"/>
    <x v="1"/>
    <s v="Travel_Rarely"/>
    <n v="371"/>
    <x v="1"/>
    <n v="2"/>
    <x v="3"/>
    <s v="Life Sciences"/>
    <n v="1"/>
    <n v="24"/>
    <n v="4"/>
    <x v="1"/>
    <n v="45"/>
    <n v="3"/>
    <n v="1"/>
    <x v="1"/>
    <n v="4"/>
    <x v="0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  <x v="1"/>
    <x v="0"/>
    <x v="1"/>
  </r>
  <r>
    <x v="17"/>
    <x v="1"/>
    <s v="Non-Travel"/>
    <n v="673"/>
    <x v="1"/>
    <n v="11"/>
    <x v="0"/>
    <s v="Other"/>
    <n v="1"/>
    <n v="26"/>
    <n v="1"/>
    <x v="0"/>
    <n v="96"/>
    <n v="4"/>
    <n v="2"/>
    <x v="3"/>
    <n v="3"/>
    <x v="2"/>
    <n v="4011"/>
    <n v="8232"/>
    <n v="0"/>
    <s v="Y"/>
    <s v="No"/>
    <n v="18"/>
    <n v="3"/>
    <n v="4"/>
    <n v="80"/>
    <n v="1"/>
    <n v="5"/>
    <n v="5"/>
    <n v="2"/>
    <n v="4"/>
    <n v="2"/>
    <n v="1"/>
    <n v="3"/>
    <m/>
    <x v="0"/>
    <x v="1"/>
    <x v="1"/>
  </r>
  <r>
    <x v="9"/>
    <x v="0"/>
    <s v="Travel_Rarely"/>
    <n v="1218"/>
    <x v="0"/>
    <n v="9"/>
    <x v="2"/>
    <s v="Life Sciences"/>
    <n v="1"/>
    <n v="27"/>
    <n v="3"/>
    <x v="1"/>
    <n v="82"/>
    <n v="2"/>
    <n v="1"/>
    <x v="6"/>
    <n v="1"/>
    <x v="0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  <x v="1"/>
    <x v="0"/>
    <x v="0"/>
  </r>
  <r>
    <x v="13"/>
    <x v="1"/>
    <s v="Travel_Rarely"/>
    <n v="419"/>
    <x v="1"/>
    <n v="7"/>
    <x v="2"/>
    <s v="Life Sciences"/>
    <n v="1"/>
    <n v="28"/>
    <n v="1"/>
    <x v="0"/>
    <n v="53"/>
    <n v="3"/>
    <n v="3"/>
    <x v="7"/>
    <n v="2"/>
    <x v="0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  <x v="0"/>
    <x v="0"/>
    <x v="1"/>
  </r>
  <r>
    <x v="18"/>
    <x v="1"/>
    <s v="Travel_Rarely"/>
    <n v="391"/>
    <x v="1"/>
    <n v="15"/>
    <x v="0"/>
    <s v="Life Sciences"/>
    <n v="1"/>
    <n v="30"/>
    <n v="3"/>
    <x v="1"/>
    <n v="96"/>
    <n v="3"/>
    <n v="1"/>
    <x v="1"/>
    <n v="4"/>
    <x v="0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  <x v="1"/>
    <x v="0"/>
    <x v="1"/>
  </r>
  <r>
    <x v="13"/>
    <x v="0"/>
    <s v="Travel_Rarely"/>
    <n v="699"/>
    <x v="1"/>
    <n v="6"/>
    <x v="1"/>
    <s v="Medical"/>
    <n v="1"/>
    <n v="31"/>
    <n v="2"/>
    <x v="1"/>
    <n v="83"/>
    <n v="3"/>
    <n v="1"/>
    <x v="1"/>
    <n v="1"/>
    <x v="0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  <x v="1"/>
    <x v="2"/>
    <x v="1"/>
  </r>
  <r>
    <x v="16"/>
    <x v="1"/>
    <s v="Travel_Rarely"/>
    <n v="1282"/>
    <x v="1"/>
    <n v="5"/>
    <x v="3"/>
    <s v="Other"/>
    <n v="1"/>
    <n v="32"/>
    <n v="3"/>
    <x v="0"/>
    <n v="58"/>
    <n v="3"/>
    <n v="5"/>
    <x v="5"/>
    <n v="3"/>
    <x v="2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  <x v="0"/>
    <x v="1"/>
    <x v="1"/>
  </r>
  <r>
    <x v="5"/>
    <x v="0"/>
    <s v="Travel_Frequently"/>
    <n v="1125"/>
    <x v="1"/>
    <n v="16"/>
    <x v="1"/>
    <s v="Life Sciences"/>
    <n v="1"/>
    <n v="33"/>
    <n v="2"/>
    <x v="0"/>
    <n v="72"/>
    <n v="1"/>
    <n v="1"/>
    <x v="1"/>
    <n v="1"/>
    <x v="0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  <x v="0"/>
    <x v="0"/>
    <x v="1"/>
  </r>
  <r>
    <x v="19"/>
    <x v="1"/>
    <s v="Travel_Rarely"/>
    <n v="691"/>
    <x v="0"/>
    <n v="8"/>
    <x v="2"/>
    <s v="Marketing"/>
    <n v="1"/>
    <n v="35"/>
    <n v="3"/>
    <x v="1"/>
    <n v="48"/>
    <n v="3"/>
    <n v="2"/>
    <x v="0"/>
    <n v="2"/>
    <x v="1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  <x v="1"/>
    <x v="3"/>
    <x v="0"/>
  </r>
  <r>
    <x v="20"/>
    <x v="1"/>
    <s v="Travel_Rarely"/>
    <n v="477"/>
    <x v="1"/>
    <n v="7"/>
    <x v="2"/>
    <s v="Medical"/>
    <n v="1"/>
    <n v="36"/>
    <n v="1"/>
    <x v="0"/>
    <n v="42"/>
    <n v="2"/>
    <n v="3"/>
    <x v="4"/>
    <n v="4"/>
    <x v="1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  <x v="0"/>
    <x v="2"/>
    <x v="1"/>
  </r>
  <r>
    <x v="21"/>
    <x v="1"/>
    <s v="Travel_Rarely"/>
    <n v="705"/>
    <x v="0"/>
    <n v="2"/>
    <x v="2"/>
    <s v="Marketing"/>
    <n v="1"/>
    <n v="38"/>
    <n v="2"/>
    <x v="0"/>
    <n v="83"/>
    <n v="3"/>
    <n v="5"/>
    <x v="5"/>
    <n v="1"/>
    <x v="0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  <x v="0"/>
    <x v="3"/>
    <x v="0"/>
  </r>
  <r>
    <x v="3"/>
    <x v="1"/>
    <s v="Travel_Rarely"/>
    <n v="924"/>
    <x v="1"/>
    <n v="2"/>
    <x v="3"/>
    <s v="Medical"/>
    <n v="1"/>
    <n v="39"/>
    <n v="3"/>
    <x v="1"/>
    <n v="78"/>
    <n v="3"/>
    <n v="1"/>
    <x v="2"/>
    <n v="4"/>
    <x v="0"/>
    <n v="2496"/>
    <n v="6670"/>
    <n v="4"/>
    <s v="Y"/>
    <s v="No"/>
    <n v="11"/>
    <n v="3"/>
    <n v="4"/>
    <n v="80"/>
    <n v="0"/>
    <n v="7"/>
    <n v="3"/>
    <n v="3"/>
    <n v="1"/>
    <n v="1"/>
    <n v="0"/>
    <n v="0"/>
    <m/>
    <x v="1"/>
    <x v="2"/>
    <x v="1"/>
  </r>
  <r>
    <x v="20"/>
    <x v="1"/>
    <s v="Travel_Rarely"/>
    <n v="1459"/>
    <x v="1"/>
    <n v="10"/>
    <x v="2"/>
    <s v="Other"/>
    <n v="1"/>
    <n v="40"/>
    <n v="4"/>
    <x v="1"/>
    <n v="41"/>
    <n v="3"/>
    <n v="2"/>
    <x v="4"/>
    <n v="4"/>
    <x v="1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  <x v="1"/>
    <x v="1"/>
    <x v="1"/>
  </r>
  <r>
    <x v="7"/>
    <x v="1"/>
    <s v="Travel_Rarely"/>
    <n v="125"/>
    <x v="1"/>
    <n v="9"/>
    <x v="0"/>
    <s v="Medical"/>
    <n v="1"/>
    <n v="41"/>
    <n v="4"/>
    <x v="1"/>
    <n v="83"/>
    <n v="2"/>
    <n v="1"/>
    <x v="2"/>
    <n v="3"/>
    <x v="0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  <x v="1"/>
    <x v="2"/>
    <x v="1"/>
  </r>
  <r>
    <x v="22"/>
    <x v="0"/>
    <s v="Travel_Rarely"/>
    <n v="895"/>
    <x v="0"/>
    <n v="5"/>
    <x v="3"/>
    <s v="Technical Degree"/>
    <n v="1"/>
    <n v="42"/>
    <n v="4"/>
    <x v="1"/>
    <n v="56"/>
    <n v="3"/>
    <n v="2"/>
    <x v="6"/>
    <n v="4"/>
    <x v="1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  <x v="1"/>
    <x v="4"/>
    <x v="0"/>
  </r>
  <r>
    <x v="17"/>
    <x v="0"/>
    <s v="Travel_Rarely"/>
    <n v="813"/>
    <x v="1"/>
    <n v="1"/>
    <x v="3"/>
    <s v="Medical"/>
    <n v="1"/>
    <n v="45"/>
    <n v="2"/>
    <x v="1"/>
    <n v="61"/>
    <n v="3"/>
    <n v="1"/>
    <x v="1"/>
    <n v="4"/>
    <x v="1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  <x v="1"/>
    <x v="2"/>
    <x v="1"/>
  </r>
  <r>
    <x v="23"/>
    <x v="1"/>
    <s v="Travel_Rarely"/>
    <n v="1273"/>
    <x v="1"/>
    <n v="2"/>
    <x v="0"/>
    <s v="Medical"/>
    <n v="1"/>
    <n v="46"/>
    <n v="4"/>
    <x v="0"/>
    <n v="72"/>
    <n v="4"/>
    <n v="1"/>
    <x v="1"/>
    <n v="3"/>
    <x v="2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  <x v="0"/>
    <x v="2"/>
    <x v="1"/>
  </r>
  <r>
    <x v="24"/>
    <x v="0"/>
    <s v="Travel_Rarely"/>
    <n v="869"/>
    <x v="0"/>
    <n v="3"/>
    <x v="0"/>
    <s v="Marketing"/>
    <n v="1"/>
    <n v="47"/>
    <n v="1"/>
    <x v="1"/>
    <n v="86"/>
    <n v="2"/>
    <n v="1"/>
    <x v="6"/>
    <n v="3"/>
    <x v="1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  <x v="1"/>
    <x v="3"/>
    <x v="0"/>
  </r>
  <r>
    <x v="10"/>
    <x v="1"/>
    <s v="Travel_Rarely"/>
    <n v="890"/>
    <x v="0"/>
    <n v="2"/>
    <x v="3"/>
    <s v="Marketing"/>
    <n v="1"/>
    <n v="49"/>
    <n v="4"/>
    <x v="0"/>
    <n v="97"/>
    <n v="3"/>
    <n v="1"/>
    <x v="6"/>
    <n v="4"/>
    <x v="1"/>
    <n v="2014"/>
    <n v="9687"/>
    <n v="1"/>
    <s v="Y"/>
    <s v="No"/>
    <n v="13"/>
    <n v="3"/>
    <n v="1"/>
    <n v="80"/>
    <n v="0"/>
    <n v="2"/>
    <n v="3"/>
    <n v="3"/>
    <n v="2"/>
    <n v="2"/>
    <n v="2"/>
    <n v="2"/>
    <m/>
    <x v="0"/>
    <x v="3"/>
    <x v="0"/>
  </r>
  <r>
    <x v="9"/>
    <x v="1"/>
    <s v="Travel_Rarely"/>
    <n v="852"/>
    <x v="1"/>
    <n v="5"/>
    <x v="2"/>
    <s v="Life Sciences"/>
    <n v="1"/>
    <n v="51"/>
    <n v="2"/>
    <x v="0"/>
    <n v="82"/>
    <n v="2"/>
    <n v="1"/>
    <x v="1"/>
    <n v="1"/>
    <x v="1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  <x v="0"/>
    <x v="0"/>
    <x v="1"/>
  </r>
  <r>
    <x v="3"/>
    <x v="1"/>
    <s v="Travel_Frequently"/>
    <n v="1141"/>
    <x v="0"/>
    <n v="1"/>
    <x v="3"/>
    <s v="Life Sciences"/>
    <n v="1"/>
    <n v="52"/>
    <n v="3"/>
    <x v="0"/>
    <n v="42"/>
    <n v="4"/>
    <n v="2"/>
    <x v="0"/>
    <n v="1"/>
    <x v="1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  <x v="0"/>
    <x v="0"/>
    <x v="0"/>
  </r>
  <r>
    <x v="10"/>
    <x v="1"/>
    <s v="Travel_Rarely"/>
    <n v="464"/>
    <x v="1"/>
    <n v="4"/>
    <x v="0"/>
    <s v="Other"/>
    <n v="1"/>
    <n v="53"/>
    <n v="3"/>
    <x v="1"/>
    <n v="75"/>
    <n v="3"/>
    <n v="1"/>
    <x v="2"/>
    <n v="4"/>
    <x v="2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  <x v="1"/>
    <x v="1"/>
    <x v="1"/>
  </r>
  <r>
    <x v="4"/>
    <x v="1"/>
    <s v="Travel_Rarely"/>
    <n v="1240"/>
    <x v="1"/>
    <n v="2"/>
    <x v="2"/>
    <s v="Life Sciences"/>
    <n v="1"/>
    <n v="54"/>
    <n v="4"/>
    <x v="0"/>
    <n v="33"/>
    <n v="3"/>
    <n v="1"/>
    <x v="2"/>
    <n v="1"/>
    <x v="2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  <x v="0"/>
    <x v="0"/>
    <x v="1"/>
  </r>
  <r>
    <x v="25"/>
    <x v="0"/>
    <s v="Travel_Rarely"/>
    <n v="1357"/>
    <x v="1"/>
    <n v="25"/>
    <x v="3"/>
    <s v="Life Sciences"/>
    <n v="1"/>
    <n v="55"/>
    <n v="1"/>
    <x v="1"/>
    <n v="48"/>
    <n v="1"/>
    <n v="1"/>
    <x v="2"/>
    <n v="3"/>
    <x v="0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  <x v="1"/>
    <x v="0"/>
    <x v="1"/>
  </r>
  <r>
    <x v="4"/>
    <x v="1"/>
    <s v="Travel_Frequently"/>
    <n v="994"/>
    <x v="0"/>
    <n v="8"/>
    <x v="3"/>
    <s v="Life Sciences"/>
    <n v="1"/>
    <n v="56"/>
    <n v="4"/>
    <x v="1"/>
    <n v="37"/>
    <n v="3"/>
    <n v="3"/>
    <x v="0"/>
    <n v="3"/>
    <x v="0"/>
    <n v="8726"/>
    <n v="2975"/>
    <n v="1"/>
    <s v="Y"/>
    <s v="No"/>
    <n v="15"/>
    <n v="3"/>
    <n v="4"/>
    <n v="80"/>
    <n v="0"/>
    <n v="9"/>
    <n v="0"/>
    <n v="3"/>
    <n v="9"/>
    <n v="8"/>
    <n v="1"/>
    <n v="7"/>
    <m/>
    <x v="1"/>
    <x v="0"/>
    <x v="0"/>
  </r>
  <r>
    <x v="7"/>
    <x v="1"/>
    <s v="Travel_Frequently"/>
    <n v="721"/>
    <x v="1"/>
    <n v="1"/>
    <x v="0"/>
    <s v="Medical"/>
    <n v="1"/>
    <n v="57"/>
    <n v="3"/>
    <x v="0"/>
    <n v="58"/>
    <n v="3"/>
    <n v="2"/>
    <x v="2"/>
    <n v="4"/>
    <x v="0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  <x v="0"/>
    <x v="2"/>
    <x v="1"/>
  </r>
  <r>
    <x v="0"/>
    <x v="0"/>
    <s v="Travel_Rarely"/>
    <n v="1360"/>
    <x v="1"/>
    <n v="12"/>
    <x v="3"/>
    <s v="Technical Degree"/>
    <n v="1"/>
    <n v="58"/>
    <n v="2"/>
    <x v="0"/>
    <n v="49"/>
    <n v="3"/>
    <n v="5"/>
    <x v="7"/>
    <n v="3"/>
    <x v="1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  <x v="0"/>
    <x v="4"/>
    <x v="1"/>
  </r>
  <r>
    <x v="13"/>
    <x v="1"/>
    <s v="Non-Travel"/>
    <n v="1065"/>
    <x v="0"/>
    <n v="23"/>
    <x v="2"/>
    <s v="Marketing"/>
    <n v="1"/>
    <n v="60"/>
    <n v="2"/>
    <x v="1"/>
    <n v="72"/>
    <n v="3"/>
    <n v="2"/>
    <x v="0"/>
    <n v="3"/>
    <x v="0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  <x v="1"/>
    <x v="3"/>
    <x v="0"/>
  </r>
  <r>
    <x v="2"/>
    <x v="1"/>
    <s v="Travel_Rarely"/>
    <n v="408"/>
    <x v="1"/>
    <n v="19"/>
    <x v="0"/>
    <s v="Life Sciences"/>
    <n v="1"/>
    <n v="61"/>
    <n v="2"/>
    <x v="1"/>
    <n v="73"/>
    <n v="3"/>
    <n v="1"/>
    <x v="1"/>
    <n v="2"/>
    <x v="1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  <x v="1"/>
    <x v="0"/>
    <x v="1"/>
  </r>
  <r>
    <x v="21"/>
    <x v="1"/>
    <s v="Travel_Frequently"/>
    <n v="1211"/>
    <x v="0"/>
    <n v="5"/>
    <x v="2"/>
    <s v="Marketing"/>
    <n v="1"/>
    <n v="62"/>
    <n v="1"/>
    <x v="1"/>
    <n v="98"/>
    <n v="3"/>
    <n v="2"/>
    <x v="0"/>
    <n v="4"/>
    <x v="0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  <x v="1"/>
    <x v="3"/>
    <x v="0"/>
  </r>
  <r>
    <x v="10"/>
    <x v="1"/>
    <s v="Travel_Rarely"/>
    <n v="1229"/>
    <x v="1"/>
    <n v="8"/>
    <x v="1"/>
    <s v="Life Sciences"/>
    <n v="1"/>
    <n v="63"/>
    <n v="4"/>
    <x v="1"/>
    <n v="36"/>
    <n v="4"/>
    <n v="1"/>
    <x v="2"/>
    <n v="4"/>
    <x v="1"/>
    <n v="2269"/>
    <n v="4892"/>
    <n v="1"/>
    <s v="Y"/>
    <s v="No"/>
    <n v="19"/>
    <n v="3"/>
    <n v="4"/>
    <n v="80"/>
    <n v="0"/>
    <n v="1"/>
    <n v="2"/>
    <n v="3"/>
    <n v="1"/>
    <n v="0"/>
    <n v="0"/>
    <n v="1"/>
    <m/>
    <x v="1"/>
    <x v="0"/>
    <x v="1"/>
  </r>
  <r>
    <x v="26"/>
    <x v="0"/>
    <s v="Travel_Rarely"/>
    <n v="626"/>
    <x v="1"/>
    <n v="1"/>
    <x v="0"/>
    <s v="Life Sciences"/>
    <n v="1"/>
    <n v="64"/>
    <n v="1"/>
    <x v="1"/>
    <n v="98"/>
    <n v="2"/>
    <n v="3"/>
    <x v="2"/>
    <n v="3"/>
    <x v="0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  <x v="1"/>
    <x v="0"/>
    <x v="1"/>
  </r>
  <r>
    <x v="14"/>
    <x v="0"/>
    <s v="Travel_Rarely"/>
    <n v="1434"/>
    <x v="1"/>
    <n v="5"/>
    <x v="2"/>
    <s v="Technical Degree"/>
    <n v="1"/>
    <n v="65"/>
    <n v="3"/>
    <x v="1"/>
    <n v="50"/>
    <n v="3"/>
    <n v="1"/>
    <x v="2"/>
    <n v="3"/>
    <x v="0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  <x v="1"/>
    <x v="4"/>
    <x v="1"/>
  </r>
  <r>
    <x v="20"/>
    <x v="1"/>
    <s v="Travel_Rarely"/>
    <n v="1488"/>
    <x v="0"/>
    <n v="1"/>
    <x v="4"/>
    <s v="Marketing"/>
    <n v="1"/>
    <n v="68"/>
    <n v="2"/>
    <x v="0"/>
    <n v="75"/>
    <n v="3"/>
    <n v="2"/>
    <x v="0"/>
    <n v="1"/>
    <x v="2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  <x v="0"/>
    <x v="3"/>
    <x v="0"/>
  </r>
  <r>
    <x v="10"/>
    <x v="1"/>
    <s v="Non-Travel"/>
    <n v="1097"/>
    <x v="1"/>
    <n v="11"/>
    <x v="0"/>
    <s v="Medical"/>
    <n v="1"/>
    <n v="70"/>
    <n v="3"/>
    <x v="1"/>
    <n v="79"/>
    <n v="2"/>
    <n v="3"/>
    <x v="4"/>
    <n v="1"/>
    <x v="1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  <x v="1"/>
    <x v="2"/>
    <x v="1"/>
  </r>
  <r>
    <x v="25"/>
    <x v="1"/>
    <s v="Travel_Rarely"/>
    <n v="1443"/>
    <x v="0"/>
    <n v="23"/>
    <x v="3"/>
    <s v="Marketing"/>
    <n v="1"/>
    <n v="72"/>
    <n v="3"/>
    <x v="0"/>
    <n v="47"/>
    <n v="2"/>
    <n v="2"/>
    <x v="0"/>
    <n v="4"/>
    <x v="1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  <x v="0"/>
    <x v="3"/>
    <x v="0"/>
  </r>
  <r>
    <x v="3"/>
    <x v="1"/>
    <s v="Travel_Frequently"/>
    <n v="515"/>
    <x v="1"/>
    <n v="1"/>
    <x v="0"/>
    <s v="Life Sciences"/>
    <n v="1"/>
    <n v="73"/>
    <n v="1"/>
    <x v="0"/>
    <n v="98"/>
    <n v="3"/>
    <n v="3"/>
    <x v="7"/>
    <n v="4"/>
    <x v="0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  <x v="0"/>
    <x v="0"/>
    <x v="1"/>
  </r>
  <r>
    <x v="10"/>
    <x v="1"/>
    <s v="Travel_Frequently"/>
    <n v="853"/>
    <x v="0"/>
    <n v="18"/>
    <x v="4"/>
    <s v="Life Sciences"/>
    <n v="1"/>
    <n v="74"/>
    <n v="2"/>
    <x v="1"/>
    <n v="71"/>
    <n v="3"/>
    <n v="3"/>
    <x v="0"/>
    <n v="1"/>
    <x v="1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  <x v="1"/>
    <x v="0"/>
    <x v="0"/>
  </r>
  <r>
    <x v="10"/>
    <x v="1"/>
    <s v="Travel_Rarely"/>
    <n v="1142"/>
    <x v="1"/>
    <n v="23"/>
    <x v="2"/>
    <s v="Medical"/>
    <n v="1"/>
    <n v="75"/>
    <n v="3"/>
    <x v="0"/>
    <n v="30"/>
    <n v="3"/>
    <n v="1"/>
    <x v="2"/>
    <n v="1"/>
    <x v="1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  <x v="0"/>
    <x v="2"/>
    <x v="1"/>
  </r>
  <r>
    <x v="12"/>
    <x v="1"/>
    <s v="Travel_Rarely"/>
    <n v="655"/>
    <x v="1"/>
    <n v="7"/>
    <x v="2"/>
    <s v="Life Sciences"/>
    <n v="1"/>
    <n v="76"/>
    <n v="4"/>
    <x v="1"/>
    <n v="48"/>
    <n v="3"/>
    <n v="2"/>
    <x v="2"/>
    <n v="4"/>
    <x v="2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  <x v="1"/>
    <x v="0"/>
    <x v="1"/>
  </r>
  <r>
    <x v="2"/>
    <x v="1"/>
    <s v="Travel_Rarely"/>
    <n v="1115"/>
    <x v="1"/>
    <n v="1"/>
    <x v="2"/>
    <s v="Life Sciences"/>
    <n v="1"/>
    <n v="77"/>
    <n v="1"/>
    <x v="1"/>
    <n v="51"/>
    <n v="2"/>
    <n v="2"/>
    <x v="3"/>
    <n v="3"/>
    <x v="2"/>
    <n v="5993"/>
    <n v="2689"/>
    <n v="1"/>
    <s v="Y"/>
    <s v="No"/>
    <n v="18"/>
    <n v="3"/>
    <n v="3"/>
    <n v="80"/>
    <n v="1"/>
    <n v="7"/>
    <n v="2"/>
    <n v="4"/>
    <n v="7"/>
    <n v="5"/>
    <n v="0"/>
    <n v="7"/>
    <m/>
    <x v="1"/>
    <x v="0"/>
    <x v="1"/>
  </r>
  <r>
    <x v="5"/>
    <x v="1"/>
    <s v="Travel_Rarely"/>
    <n v="427"/>
    <x v="1"/>
    <n v="1"/>
    <x v="3"/>
    <s v="Medical"/>
    <n v="1"/>
    <n v="78"/>
    <n v="1"/>
    <x v="1"/>
    <n v="33"/>
    <n v="3"/>
    <n v="2"/>
    <x v="3"/>
    <n v="4"/>
    <x v="1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  <x v="1"/>
    <x v="2"/>
    <x v="1"/>
  </r>
  <r>
    <x v="8"/>
    <x v="1"/>
    <s v="Travel_Frequently"/>
    <n v="653"/>
    <x v="1"/>
    <n v="29"/>
    <x v="4"/>
    <s v="Life Sciences"/>
    <n v="1"/>
    <n v="79"/>
    <n v="4"/>
    <x v="0"/>
    <n v="50"/>
    <n v="3"/>
    <n v="2"/>
    <x v="2"/>
    <n v="4"/>
    <x v="0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  <x v="0"/>
    <x v="0"/>
    <x v="1"/>
  </r>
  <r>
    <x v="24"/>
    <x v="1"/>
    <s v="Travel_Rarely"/>
    <n v="989"/>
    <x v="1"/>
    <n v="7"/>
    <x v="0"/>
    <s v="Medical"/>
    <n v="1"/>
    <n v="80"/>
    <n v="2"/>
    <x v="0"/>
    <n v="43"/>
    <n v="2"/>
    <n v="5"/>
    <x v="7"/>
    <n v="3"/>
    <x v="2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  <x v="0"/>
    <x v="2"/>
    <x v="1"/>
  </r>
  <r>
    <x v="6"/>
    <x v="1"/>
    <s v="Travel_Rarely"/>
    <n v="1435"/>
    <x v="0"/>
    <n v="25"/>
    <x v="3"/>
    <s v="Life Sciences"/>
    <n v="1"/>
    <n v="81"/>
    <n v="1"/>
    <x v="0"/>
    <n v="99"/>
    <n v="3"/>
    <n v="3"/>
    <x v="0"/>
    <n v="1"/>
    <x v="0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  <x v="0"/>
    <x v="0"/>
    <x v="0"/>
  </r>
  <r>
    <x v="9"/>
    <x v="1"/>
    <s v="Travel_Rarely"/>
    <n v="1223"/>
    <x v="1"/>
    <n v="8"/>
    <x v="3"/>
    <s v="Technical Degree"/>
    <n v="1"/>
    <n v="83"/>
    <n v="3"/>
    <x v="0"/>
    <n v="59"/>
    <n v="3"/>
    <n v="3"/>
    <x v="4"/>
    <n v="3"/>
    <x v="2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  <x v="0"/>
    <x v="4"/>
    <x v="1"/>
  </r>
  <r>
    <x v="27"/>
    <x v="1"/>
    <s v="Travel_Rarely"/>
    <n v="836"/>
    <x v="1"/>
    <n v="8"/>
    <x v="3"/>
    <s v="Medical"/>
    <n v="1"/>
    <n v="84"/>
    <n v="4"/>
    <x v="0"/>
    <n v="33"/>
    <n v="3"/>
    <n v="4"/>
    <x v="5"/>
    <n v="3"/>
    <x v="2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  <x v="0"/>
    <x v="2"/>
    <x v="1"/>
  </r>
  <r>
    <x v="9"/>
    <x v="1"/>
    <s v="Travel_Frequently"/>
    <n v="1195"/>
    <x v="1"/>
    <n v="11"/>
    <x v="3"/>
    <s v="Life Sciences"/>
    <n v="1"/>
    <n v="85"/>
    <n v="2"/>
    <x v="1"/>
    <n v="95"/>
    <n v="2"/>
    <n v="2"/>
    <x v="3"/>
    <n v="2"/>
    <x v="0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  <x v="1"/>
    <x v="0"/>
    <x v="1"/>
  </r>
  <r>
    <x v="28"/>
    <x v="1"/>
    <s v="Travel_Rarely"/>
    <n v="1339"/>
    <x v="1"/>
    <n v="7"/>
    <x v="3"/>
    <s v="Life Sciences"/>
    <n v="1"/>
    <n v="86"/>
    <n v="2"/>
    <x v="1"/>
    <n v="59"/>
    <n v="3"/>
    <n v="3"/>
    <x v="1"/>
    <n v="1"/>
    <x v="2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  <x v="1"/>
    <x v="0"/>
    <x v="1"/>
  </r>
  <r>
    <x v="10"/>
    <x v="1"/>
    <s v="Travel_Frequently"/>
    <n v="664"/>
    <x v="1"/>
    <n v="1"/>
    <x v="3"/>
    <s v="Medical"/>
    <n v="1"/>
    <n v="88"/>
    <n v="2"/>
    <x v="1"/>
    <n v="79"/>
    <n v="3"/>
    <n v="1"/>
    <x v="1"/>
    <n v="1"/>
    <x v="1"/>
    <n v="2194"/>
    <n v="5868"/>
    <n v="4"/>
    <s v="Y"/>
    <s v="No"/>
    <n v="13"/>
    <n v="3"/>
    <n v="4"/>
    <n v="80"/>
    <n v="1"/>
    <n v="5"/>
    <n v="2"/>
    <n v="2"/>
    <n v="3"/>
    <n v="2"/>
    <n v="1"/>
    <n v="2"/>
    <m/>
    <x v="1"/>
    <x v="2"/>
    <x v="1"/>
  </r>
  <r>
    <x v="9"/>
    <x v="0"/>
    <s v="Travel_Rarely"/>
    <n v="318"/>
    <x v="1"/>
    <n v="9"/>
    <x v="3"/>
    <s v="Medical"/>
    <n v="1"/>
    <n v="90"/>
    <n v="4"/>
    <x v="1"/>
    <n v="79"/>
    <n v="2"/>
    <n v="1"/>
    <x v="1"/>
    <n v="3"/>
    <x v="1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  <x v="1"/>
    <x v="2"/>
    <x v="1"/>
  </r>
  <r>
    <x v="6"/>
    <x v="1"/>
    <s v="Travel_Frequently"/>
    <n v="1225"/>
    <x v="0"/>
    <n v="1"/>
    <x v="1"/>
    <s v="Life Sciences"/>
    <n v="1"/>
    <n v="91"/>
    <n v="1"/>
    <x v="0"/>
    <n v="57"/>
    <n v="2"/>
    <n v="2"/>
    <x v="0"/>
    <n v="3"/>
    <x v="0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  <x v="0"/>
    <x v="0"/>
    <x v="0"/>
  </r>
  <r>
    <x v="11"/>
    <x v="1"/>
    <s v="Travel_Rarely"/>
    <n v="1328"/>
    <x v="1"/>
    <n v="2"/>
    <x v="3"/>
    <s v="Life Sciences"/>
    <n v="1"/>
    <n v="94"/>
    <n v="3"/>
    <x v="1"/>
    <n v="76"/>
    <n v="3"/>
    <n v="1"/>
    <x v="1"/>
    <n v="2"/>
    <x v="1"/>
    <n v="2703"/>
    <n v="4956"/>
    <n v="0"/>
    <s v="Y"/>
    <s v="No"/>
    <n v="23"/>
    <n v="4"/>
    <n v="4"/>
    <n v="80"/>
    <n v="1"/>
    <n v="6"/>
    <n v="3"/>
    <n v="3"/>
    <n v="5"/>
    <n v="4"/>
    <n v="0"/>
    <n v="4"/>
    <m/>
    <x v="1"/>
    <x v="0"/>
    <x v="1"/>
  </r>
  <r>
    <x v="12"/>
    <x v="1"/>
    <s v="Travel_Rarely"/>
    <n v="1082"/>
    <x v="1"/>
    <n v="1"/>
    <x v="2"/>
    <s v="Medical"/>
    <n v="1"/>
    <n v="95"/>
    <n v="3"/>
    <x v="1"/>
    <n v="87"/>
    <n v="3"/>
    <n v="1"/>
    <x v="1"/>
    <n v="2"/>
    <x v="0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  <x v="1"/>
    <x v="2"/>
    <x v="1"/>
  </r>
  <r>
    <x v="5"/>
    <x v="1"/>
    <s v="Travel_Rarely"/>
    <n v="548"/>
    <x v="1"/>
    <n v="1"/>
    <x v="3"/>
    <s v="Life Sciences"/>
    <n v="1"/>
    <n v="96"/>
    <n v="2"/>
    <x v="1"/>
    <n v="66"/>
    <n v="3"/>
    <n v="2"/>
    <x v="1"/>
    <n v="2"/>
    <x v="1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  <x v="1"/>
    <x v="0"/>
    <x v="1"/>
  </r>
  <r>
    <x v="9"/>
    <x v="1"/>
    <s v="Travel_Rarely"/>
    <n v="132"/>
    <x v="1"/>
    <n v="6"/>
    <x v="3"/>
    <s v="Life Sciences"/>
    <n v="1"/>
    <n v="97"/>
    <n v="2"/>
    <x v="0"/>
    <n v="55"/>
    <n v="4"/>
    <n v="1"/>
    <x v="2"/>
    <n v="4"/>
    <x v="1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  <x v="0"/>
    <x v="0"/>
    <x v="1"/>
  </r>
  <r>
    <x v="12"/>
    <x v="1"/>
    <s v="Travel_Rarely"/>
    <n v="746"/>
    <x v="1"/>
    <n v="8"/>
    <x v="2"/>
    <s v="Life Sciences"/>
    <n v="1"/>
    <n v="98"/>
    <n v="3"/>
    <x v="0"/>
    <n v="61"/>
    <n v="3"/>
    <n v="2"/>
    <x v="3"/>
    <n v="4"/>
    <x v="0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  <x v="0"/>
    <x v="0"/>
    <x v="1"/>
  </r>
  <r>
    <x v="10"/>
    <x v="1"/>
    <s v="Travel_Rarely"/>
    <n v="776"/>
    <x v="0"/>
    <n v="1"/>
    <x v="2"/>
    <s v="Marketing"/>
    <n v="1"/>
    <n v="100"/>
    <n v="3"/>
    <x v="1"/>
    <n v="32"/>
    <n v="2"/>
    <n v="2"/>
    <x v="0"/>
    <n v="1"/>
    <x v="0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  <x v="1"/>
    <x v="3"/>
    <x v="0"/>
  </r>
  <r>
    <x v="28"/>
    <x v="1"/>
    <s v="Travel_Rarely"/>
    <n v="193"/>
    <x v="1"/>
    <n v="6"/>
    <x v="2"/>
    <s v="Other"/>
    <n v="1"/>
    <n v="101"/>
    <n v="4"/>
    <x v="1"/>
    <n v="52"/>
    <n v="3"/>
    <n v="3"/>
    <x v="7"/>
    <n v="1"/>
    <x v="1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  <x v="1"/>
    <x v="1"/>
    <x v="1"/>
  </r>
  <r>
    <x v="2"/>
    <x v="1"/>
    <s v="Travel_Rarely"/>
    <n v="397"/>
    <x v="1"/>
    <n v="7"/>
    <x v="2"/>
    <s v="Medical"/>
    <n v="1"/>
    <n v="102"/>
    <n v="1"/>
    <x v="1"/>
    <n v="30"/>
    <n v="3"/>
    <n v="3"/>
    <x v="7"/>
    <n v="3"/>
    <x v="0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  <x v="1"/>
    <x v="2"/>
    <x v="1"/>
  </r>
  <r>
    <x v="21"/>
    <x v="1"/>
    <s v="Travel_Rarely"/>
    <n v="945"/>
    <x v="2"/>
    <n v="5"/>
    <x v="0"/>
    <s v="Medical"/>
    <n v="1"/>
    <n v="103"/>
    <n v="2"/>
    <x v="1"/>
    <n v="80"/>
    <n v="3"/>
    <n v="2"/>
    <x v="8"/>
    <n v="2"/>
    <x v="2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  <x v="1"/>
    <x v="2"/>
    <x v="2"/>
  </r>
  <r>
    <x v="7"/>
    <x v="1"/>
    <s v="Travel_Rarely"/>
    <n v="852"/>
    <x v="1"/>
    <n v="1"/>
    <x v="1"/>
    <s v="Life Sciences"/>
    <n v="1"/>
    <n v="104"/>
    <n v="4"/>
    <x v="1"/>
    <n v="55"/>
    <n v="2"/>
    <n v="2"/>
    <x v="2"/>
    <n v="4"/>
    <x v="1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  <x v="1"/>
    <x v="0"/>
    <x v="1"/>
  </r>
  <r>
    <x v="10"/>
    <x v="1"/>
    <s v="Travel_Rarely"/>
    <n v="1214"/>
    <x v="1"/>
    <n v="1"/>
    <x v="3"/>
    <s v="Medical"/>
    <n v="1"/>
    <n v="105"/>
    <n v="2"/>
    <x v="1"/>
    <n v="30"/>
    <n v="2"/>
    <n v="1"/>
    <x v="1"/>
    <n v="3"/>
    <x v="0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  <x v="1"/>
    <x v="2"/>
    <x v="1"/>
  </r>
  <r>
    <x v="27"/>
    <x v="1"/>
    <s v="Travel_Rarely"/>
    <n v="111"/>
    <x v="0"/>
    <n v="1"/>
    <x v="0"/>
    <s v="Life Sciences"/>
    <n v="1"/>
    <n v="106"/>
    <n v="1"/>
    <x v="1"/>
    <n v="70"/>
    <n v="3"/>
    <n v="3"/>
    <x v="0"/>
    <n v="4"/>
    <x v="1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  <x v="1"/>
    <x v="0"/>
    <x v="0"/>
  </r>
  <r>
    <x v="8"/>
    <x v="1"/>
    <s v="Non-Travel"/>
    <n v="573"/>
    <x v="1"/>
    <n v="6"/>
    <x v="3"/>
    <s v="Medical"/>
    <n v="1"/>
    <n v="107"/>
    <n v="2"/>
    <x v="0"/>
    <n v="79"/>
    <n v="1"/>
    <n v="2"/>
    <x v="1"/>
    <n v="4"/>
    <x v="2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  <x v="0"/>
    <x v="2"/>
    <x v="1"/>
  </r>
  <r>
    <x v="13"/>
    <x v="1"/>
    <s v="Travel_Rarely"/>
    <n v="1153"/>
    <x v="1"/>
    <n v="1"/>
    <x v="0"/>
    <s v="Medical"/>
    <n v="1"/>
    <n v="110"/>
    <n v="1"/>
    <x v="1"/>
    <n v="94"/>
    <n v="3"/>
    <n v="2"/>
    <x v="3"/>
    <n v="2"/>
    <x v="1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  <x v="1"/>
    <x v="2"/>
    <x v="1"/>
  </r>
  <r>
    <x v="29"/>
    <x v="1"/>
    <s v="Travel_Rarely"/>
    <n v="1400"/>
    <x v="1"/>
    <n v="7"/>
    <x v="3"/>
    <s v="Life Sciences"/>
    <n v="1"/>
    <n v="112"/>
    <n v="4"/>
    <x v="1"/>
    <n v="49"/>
    <n v="1"/>
    <n v="3"/>
    <x v="3"/>
    <n v="4"/>
    <x v="0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  <x v="1"/>
    <x v="0"/>
    <x v="1"/>
  </r>
  <r>
    <x v="30"/>
    <x v="1"/>
    <s v="Travel_Rarely"/>
    <n v="541"/>
    <x v="0"/>
    <n v="2"/>
    <x v="1"/>
    <s v="Technical Degree"/>
    <n v="1"/>
    <n v="113"/>
    <n v="3"/>
    <x v="1"/>
    <n v="62"/>
    <n v="3"/>
    <n v="1"/>
    <x v="6"/>
    <n v="1"/>
    <x v="2"/>
    <n v="2322"/>
    <n v="9518"/>
    <n v="3"/>
    <s v="Y"/>
    <s v="No"/>
    <n v="13"/>
    <n v="3"/>
    <n v="3"/>
    <n v="80"/>
    <n v="1"/>
    <n v="3"/>
    <n v="3"/>
    <n v="3"/>
    <n v="0"/>
    <n v="0"/>
    <n v="0"/>
    <n v="0"/>
    <m/>
    <x v="1"/>
    <x v="4"/>
    <x v="0"/>
  </r>
  <r>
    <x v="31"/>
    <x v="1"/>
    <s v="Travel_Rarely"/>
    <n v="432"/>
    <x v="1"/>
    <n v="9"/>
    <x v="2"/>
    <s v="Life Sciences"/>
    <n v="1"/>
    <n v="116"/>
    <n v="4"/>
    <x v="1"/>
    <n v="96"/>
    <n v="3"/>
    <n v="1"/>
    <x v="2"/>
    <n v="4"/>
    <x v="1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  <x v="1"/>
    <x v="0"/>
    <x v="1"/>
  </r>
  <r>
    <x v="7"/>
    <x v="1"/>
    <s v="Travel_Rarely"/>
    <n v="288"/>
    <x v="1"/>
    <n v="2"/>
    <x v="3"/>
    <s v="Life Sciences"/>
    <n v="1"/>
    <n v="117"/>
    <n v="3"/>
    <x v="1"/>
    <n v="99"/>
    <n v="2"/>
    <n v="2"/>
    <x v="4"/>
    <n v="4"/>
    <x v="1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  <x v="1"/>
    <x v="0"/>
    <x v="1"/>
  </r>
  <r>
    <x v="21"/>
    <x v="0"/>
    <s v="Travel_Rarely"/>
    <n v="669"/>
    <x v="0"/>
    <n v="9"/>
    <x v="0"/>
    <s v="Medical"/>
    <n v="1"/>
    <n v="118"/>
    <n v="3"/>
    <x v="1"/>
    <n v="64"/>
    <n v="2"/>
    <n v="3"/>
    <x v="0"/>
    <n v="4"/>
    <x v="0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  <x v="1"/>
    <x v="2"/>
    <x v="0"/>
  </r>
  <r>
    <x v="32"/>
    <x v="1"/>
    <s v="Travel_Frequently"/>
    <n v="530"/>
    <x v="1"/>
    <n v="1"/>
    <x v="2"/>
    <s v="Life Sciences"/>
    <n v="1"/>
    <n v="119"/>
    <n v="3"/>
    <x v="1"/>
    <n v="78"/>
    <n v="2"/>
    <n v="4"/>
    <x v="4"/>
    <n v="2"/>
    <x v="1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  <x v="1"/>
    <x v="0"/>
    <x v="1"/>
  </r>
  <r>
    <x v="31"/>
    <x v="1"/>
    <s v="Travel_Rarely"/>
    <n v="632"/>
    <x v="0"/>
    <n v="21"/>
    <x v="2"/>
    <s v="Marketing"/>
    <n v="1"/>
    <n v="120"/>
    <n v="3"/>
    <x v="1"/>
    <n v="71"/>
    <n v="3"/>
    <n v="2"/>
    <x v="0"/>
    <n v="4"/>
    <x v="0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  <x v="1"/>
    <x v="3"/>
    <x v="0"/>
  </r>
  <r>
    <x v="7"/>
    <x v="1"/>
    <s v="Travel_Rarely"/>
    <n v="1334"/>
    <x v="0"/>
    <n v="4"/>
    <x v="0"/>
    <s v="Medical"/>
    <n v="1"/>
    <n v="121"/>
    <n v="3"/>
    <x v="0"/>
    <n v="63"/>
    <n v="2"/>
    <n v="2"/>
    <x v="0"/>
    <n v="2"/>
    <x v="2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  <x v="0"/>
    <x v="2"/>
    <x v="0"/>
  </r>
  <r>
    <x v="21"/>
    <x v="1"/>
    <s v="Travel_Frequently"/>
    <n v="638"/>
    <x v="1"/>
    <n v="1"/>
    <x v="3"/>
    <s v="Medical"/>
    <n v="1"/>
    <n v="124"/>
    <n v="3"/>
    <x v="1"/>
    <n v="40"/>
    <n v="2"/>
    <n v="3"/>
    <x v="4"/>
    <n v="1"/>
    <x v="1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  <x v="1"/>
    <x v="2"/>
    <x v="1"/>
  </r>
  <r>
    <x v="5"/>
    <x v="1"/>
    <s v="Travel_Rarely"/>
    <n v="1093"/>
    <x v="0"/>
    <n v="6"/>
    <x v="2"/>
    <s v="Medical"/>
    <n v="1"/>
    <n v="125"/>
    <n v="2"/>
    <x v="1"/>
    <n v="87"/>
    <n v="3"/>
    <n v="2"/>
    <x v="0"/>
    <n v="3"/>
    <x v="0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  <x v="1"/>
    <x v="2"/>
    <x v="0"/>
  </r>
  <r>
    <x v="33"/>
    <x v="1"/>
    <s v="Travel_Rarely"/>
    <n v="1217"/>
    <x v="1"/>
    <n v="2"/>
    <x v="2"/>
    <s v="Technical Degree"/>
    <n v="1"/>
    <n v="126"/>
    <n v="1"/>
    <x v="0"/>
    <n v="60"/>
    <n v="3"/>
    <n v="3"/>
    <x v="7"/>
    <n v="3"/>
    <x v="1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  <x v="0"/>
    <x v="4"/>
    <x v="1"/>
  </r>
  <r>
    <x v="17"/>
    <x v="1"/>
    <s v="Travel_Rarely"/>
    <n v="1353"/>
    <x v="0"/>
    <n v="3"/>
    <x v="0"/>
    <s v="Other"/>
    <n v="1"/>
    <n v="128"/>
    <n v="1"/>
    <x v="0"/>
    <n v="33"/>
    <n v="3"/>
    <n v="2"/>
    <x v="0"/>
    <n v="3"/>
    <x v="1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  <x v="0"/>
    <x v="1"/>
    <x v="0"/>
  </r>
  <r>
    <x v="14"/>
    <x v="1"/>
    <s v="Non-Travel"/>
    <n v="120"/>
    <x v="0"/>
    <n v="4"/>
    <x v="3"/>
    <s v="Medical"/>
    <n v="1"/>
    <n v="129"/>
    <n v="2"/>
    <x v="1"/>
    <n v="43"/>
    <n v="3"/>
    <n v="2"/>
    <x v="0"/>
    <n v="3"/>
    <x v="1"/>
    <n v="4221"/>
    <n v="8863"/>
    <n v="1"/>
    <s v="Y"/>
    <s v="No"/>
    <n v="15"/>
    <n v="3"/>
    <n v="2"/>
    <n v="80"/>
    <n v="0"/>
    <n v="5"/>
    <n v="3"/>
    <n v="4"/>
    <n v="5"/>
    <n v="4"/>
    <n v="0"/>
    <n v="4"/>
    <m/>
    <x v="1"/>
    <x v="2"/>
    <x v="0"/>
  </r>
  <r>
    <x v="34"/>
    <x v="1"/>
    <s v="Travel_Rarely"/>
    <n v="682"/>
    <x v="0"/>
    <n v="10"/>
    <x v="2"/>
    <s v="Medical"/>
    <n v="1"/>
    <n v="131"/>
    <n v="4"/>
    <x v="1"/>
    <n v="37"/>
    <n v="3"/>
    <n v="4"/>
    <x v="0"/>
    <n v="3"/>
    <x v="0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  <x v="1"/>
    <x v="2"/>
    <x v="0"/>
  </r>
  <r>
    <x v="20"/>
    <x v="1"/>
    <s v="Non-Travel"/>
    <n v="489"/>
    <x v="1"/>
    <n v="23"/>
    <x v="3"/>
    <s v="Medical"/>
    <n v="1"/>
    <n v="132"/>
    <n v="2"/>
    <x v="1"/>
    <n v="67"/>
    <n v="3"/>
    <n v="2"/>
    <x v="2"/>
    <n v="2"/>
    <x v="1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  <x v="1"/>
    <x v="2"/>
    <x v="1"/>
  </r>
  <r>
    <x v="2"/>
    <x v="0"/>
    <s v="Travel_Rarely"/>
    <n v="807"/>
    <x v="2"/>
    <n v="6"/>
    <x v="2"/>
    <s v="Human Resources"/>
    <n v="1"/>
    <n v="133"/>
    <n v="3"/>
    <x v="1"/>
    <n v="63"/>
    <n v="3"/>
    <n v="1"/>
    <x v="8"/>
    <n v="1"/>
    <x v="2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  <x v="1"/>
    <x v="5"/>
    <x v="2"/>
  </r>
  <r>
    <x v="5"/>
    <x v="1"/>
    <s v="Travel_Rarely"/>
    <n v="827"/>
    <x v="1"/>
    <n v="1"/>
    <x v="1"/>
    <s v="Life Sciences"/>
    <n v="1"/>
    <n v="134"/>
    <n v="4"/>
    <x v="1"/>
    <n v="71"/>
    <n v="3"/>
    <n v="1"/>
    <x v="1"/>
    <n v="1"/>
    <x v="0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  <x v="1"/>
    <x v="0"/>
    <x v="1"/>
  </r>
  <r>
    <x v="35"/>
    <x v="0"/>
    <s v="Travel_Frequently"/>
    <n v="871"/>
    <x v="1"/>
    <n v="6"/>
    <x v="3"/>
    <s v="Life Sciences"/>
    <n v="1"/>
    <n v="137"/>
    <n v="4"/>
    <x v="0"/>
    <n v="66"/>
    <n v="2"/>
    <n v="1"/>
    <x v="2"/>
    <n v="4"/>
    <x v="0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  <x v="0"/>
    <x v="0"/>
    <x v="1"/>
  </r>
  <r>
    <x v="13"/>
    <x v="1"/>
    <s v="Travel_Rarely"/>
    <n v="665"/>
    <x v="1"/>
    <n v="6"/>
    <x v="2"/>
    <s v="Other"/>
    <n v="1"/>
    <n v="138"/>
    <n v="1"/>
    <x v="0"/>
    <n v="41"/>
    <n v="3"/>
    <n v="2"/>
    <x v="1"/>
    <n v="3"/>
    <x v="0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  <x v="0"/>
    <x v="1"/>
    <x v="1"/>
  </r>
  <r>
    <x v="2"/>
    <x v="1"/>
    <s v="Non-Travel"/>
    <n v="1040"/>
    <x v="1"/>
    <n v="2"/>
    <x v="0"/>
    <s v="Life Sciences"/>
    <n v="1"/>
    <n v="139"/>
    <n v="3"/>
    <x v="1"/>
    <n v="100"/>
    <n v="2"/>
    <n v="2"/>
    <x v="4"/>
    <n v="4"/>
    <x v="2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  <x v="1"/>
    <x v="0"/>
    <x v="1"/>
  </r>
  <r>
    <x v="6"/>
    <x v="1"/>
    <s v="Non-Travel"/>
    <n v="1420"/>
    <x v="2"/>
    <n v="2"/>
    <x v="2"/>
    <s v="Human Resources"/>
    <n v="1"/>
    <n v="140"/>
    <n v="3"/>
    <x v="0"/>
    <n v="32"/>
    <n v="2"/>
    <n v="5"/>
    <x v="5"/>
    <n v="4"/>
    <x v="1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  <x v="0"/>
    <x v="5"/>
    <x v="2"/>
  </r>
  <r>
    <x v="24"/>
    <x v="1"/>
    <s v="Travel_Frequently"/>
    <n v="1115"/>
    <x v="1"/>
    <n v="1"/>
    <x v="3"/>
    <s v="Life Sciences"/>
    <n v="1"/>
    <n v="141"/>
    <n v="1"/>
    <x v="0"/>
    <n v="73"/>
    <n v="3"/>
    <n v="5"/>
    <x v="7"/>
    <n v="2"/>
    <x v="1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  <x v="0"/>
    <x v="0"/>
    <x v="1"/>
  </r>
  <r>
    <x v="36"/>
    <x v="0"/>
    <s v="Travel_Rarely"/>
    <n v="240"/>
    <x v="0"/>
    <n v="5"/>
    <x v="3"/>
    <s v="Marketing"/>
    <n v="1"/>
    <n v="142"/>
    <n v="3"/>
    <x v="1"/>
    <n v="46"/>
    <n v="2"/>
    <n v="2"/>
    <x v="0"/>
    <n v="3"/>
    <x v="0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  <x v="1"/>
    <x v="3"/>
    <x v="0"/>
  </r>
  <r>
    <x v="36"/>
    <x v="1"/>
    <s v="Travel_Rarely"/>
    <n v="1280"/>
    <x v="1"/>
    <n v="7"/>
    <x v="1"/>
    <s v="Medical"/>
    <n v="1"/>
    <n v="143"/>
    <n v="4"/>
    <x v="1"/>
    <n v="64"/>
    <n v="2"/>
    <n v="1"/>
    <x v="1"/>
    <n v="4"/>
    <x v="1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  <x v="1"/>
    <x v="2"/>
    <x v="1"/>
  </r>
  <r>
    <x v="15"/>
    <x v="1"/>
    <s v="Travel_Rarely"/>
    <n v="534"/>
    <x v="1"/>
    <n v="15"/>
    <x v="3"/>
    <s v="Medical"/>
    <n v="1"/>
    <n v="144"/>
    <n v="2"/>
    <x v="0"/>
    <n v="59"/>
    <n v="3"/>
    <n v="1"/>
    <x v="2"/>
    <n v="4"/>
    <x v="0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  <x v="0"/>
    <x v="2"/>
    <x v="1"/>
  </r>
  <r>
    <x v="31"/>
    <x v="1"/>
    <s v="Travel_Frequently"/>
    <n v="1456"/>
    <x v="1"/>
    <n v="1"/>
    <x v="2"/>
    <s v="Medical"/>
    <n v="1"/>
    <n v="145"/>
    <n v="1"/>
    <x v="0"/>
    <n v="30"/>
    <n v="2"/>
    <n v="3"/>
    <x v="4"/>
    <n v="1"/>
    <x v="0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  <x v="0"/>
    <x v="2"/>
    <x v="1"/>
  </r>
  <r>
    <x v="13"/>
    <x v="0"/>
    <s v="Travel_Frequently"/>
    <n v="658"/>
    <x v="1"/>
    <n v="7"/>
    <x v="3"/>
    <s v="Life Sciences"/>
    <n v="1"/>
    <n v="147"/>
    <n v="1"/>
    <x v="1"/>
    <n v="66"/>
    <n v="1"/>
    <n v="2"/>
    <x v="2"/>
    <n v="3"/>
    <x v="0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  <x v="1"/>
    <x v="0"/>
    <x v="1"/>
  </r>
  <r>
    <x v="33"/>
    <x v="1"/>
    <s v="Non-Travel"/>
    <n v="142"/>
    <x v="2"/>
    <n v="26"/>
    <x v="3"/>
    <s v="Human Resources"/>
    <n v="1"/>
    <n v="148"/>
    <n v="4"/>
    <x v="0"/>
    <n v="30"/>
    <n v="4"/>
    <n v="4"/>
    <x v="5"/>
    <n v="4"/>
    <x v="0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  <x v="0"/>
    <x v="5"/>
    <x v="2"/>
  </r>
  <r>
    <x v="17"/>
    <x v="1"/>
    <s v="Travel_Rarely"/>
    <n v="1127"/>
    <x v="1"/>
    <n v="18"/>
    <x v="1"/>
    <s v="Life Sciences"/>
    <n v="1"/>
    <n v="150"/>
    <n v="2"/>
    <x v="1"/>
    <n v="52"/>
    <n v="3"/>
    <n v="1"/>
    <x v="2"/>
    <n v="3"/>
    <x v="1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  <x v="1"/>
    <x v="0"/>
    <x v="1"/>
  </r>
  <r>
    <x v="13"/>
    <x v="1"/>
    <s v="Travel_Rarely"/>
    <n v="1031"/>
    <x v="1"/>
    <n v="6"/>
    <x v="2"/>
    <s v="Life Sciences"/>
    <n v="1"/>
    <n v="151"/>
    <n v="3"/>
    <x v="0"/>
    <n v="45"/>
    <n v="2"/>
    <n v="2"/>
    <x v="1"/>
    <n v="2"/>
    <x v="2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  <x v="0"/>
    <x v="0"/>
    <x v="1"/>
  </r>
  <r>
    <x v="2"/>
    <x v="1"/>
    <s v="Travel_Rarely"/>
    <n v="1189"/>
    <x v="0"/>
    <n v="3"/>
    <x v="3"/>
    <s v="Life Sciences"/>
    <n v="1"/>
    <n v="152"/>
    <n v="3"/>
    <x v="1"/>
    <n v="87"/>
    <n v="3"/>
    <n v="3"/>
    <x v="0"/>
    <n v="4"/>
    <x v="0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  <x v="1"/>
    <x v="0"/>
    <x v="0"/>
  </r>
  <r>
    <x v="13"/>
    <x v="1"/>
    <s v="Travel_Rarely"/>
    <n v="1354"/>
    <x v="1"/>
    <n v="5"/>
    <x v="3"/>
    <s v="Medical"/>
    <n v="1"/>
    <n v="153"/>
    <n v="3"/>
    <x v="0"/>
    <n v="45"/>
    <n v="2"/>
    <n v="3"/>
    <x v="5"/>
    <n v="1"/>
    <x v="0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  <x v="0"/>
    <x v="2"/>
    <x v="1"/>
  </r>
  <r>
    <x v="9"/>
    <x v="1"/>
    <s v="Travel_Frequently"/>
    <n v="1467"/>
    <x v="0"/>
    <n v="11"/>
    <x v="0"/>
    <s v="Technical Degree"/>
    <n v="1"/>
    <n v="154"/>
    <n v="2"/>
    <x v="0"/>
    <n v="92"/>
    <n v="3"/>
    <n v="3"/>
    <x v="0"/>
    <n v="4"/>
    <x v="1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  <x v="0"/>
    <x v="4"/>
    <x v="0"/>
  </r>
  <r>
    <x v="9"/>
    <x v="1"/>
    <s v="Travel_Rarely"/>
    <n v="922"/>
    <x v="1"/>
    <n v="3"/>
    <x v="0"/>
    <s v="Life Sciences"/>
    <n v="1"/>
    <n v="155"/>
    <n v="1"/>
    <x v="0"/>
    <n v="39"/>
    <n v="3"/>
    <n v="1"/>
    <x v="2"/>
    <n v="4"/>
    <x v="2"/>
    <n v="2835"/>
    <n v="2561"/>
    <n v="5"/>
    <s v="Y"/>
    <s v="No"/>
    <n v="22"/>
    <n v="4"/>
    <n v="1"/>
    <n v="80"/>
    <n v="1"/>
    <n v="7"/>
    <n v="2"/>
    <n v="3"/>
    <n v="1"/>
    <n v="0"/>
    <n v="0"/>
    <n v="0"/>
    <m/>
    <x v="0"/>
    <x v="0"/>
    <x v="1"/>
  </r>
  <r>
    <x v="23"/>
    <x v="1"/>
    <s v="Travel_Frequently"/>
    <n v="394"/>
    <x v="0"/>
    <n v="26"/>
    <x v="0"/>
    <s v="Life Sciences"/>
    <n v="1"/>
    <n v="158"/>
    <n v="3"/>
    <x v="1"/>
    <n v="92"/>
    <n v="3"/>
    <n v="4"/>
    <x v="5"/>
    <n v="4"/>
    <x v="1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  <x v="1"/>
    <x v="0"/>
    <x v="0"/>
  </r>
  <r>
    <x v="7"/>
    <x v="1"/>
    <s v="Travel_Frequently"/>
    <n v="1312"/>
    <x v="1"/>
    <n v="23"/>
    <x v="3"/>
    <s v="Life Sciences"/>
    <n v="1"/>
    <n v="159"/>
    <n v="1"/>
    <x v="1"/>
    <n v="96"/>
    <n v="1"/>
    <n v="1"/>
    <x v="1"/>
    <n v="3"/>
    <x v="2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  <x v="1"/>
    <x v="0"/>
    <x v="1"/>
  </r>
  <r>
    <x v="3"/>
    <x v="1"/>
    <s v="Non-Travel"/>
    <n v="750"/>
    <x v="0"/>
    <n v="22"/>
    <x v="0"/>
    <s v="Marketing"/>
    <n v="1"/>
    <n v="160"/>
    <n v="3"/>
    <x v="1"/>
    <n v="95"/>
    <n v="3"/>
    <n v="2"/>
    <x v="0"/>
    <n v="2"/>
    <x v="1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  <x v="1"/>
    <x v="3"/>
    <x v="0"/>
  </r>
  <r>
    <x v="29"/>
    <x v="0"/>
    <s v="Travel_Rarely"/>
    <n v="441"/>
    <x v="1"/>
    <n v="14"/>
    <x v="2"/>
    <s v="Life Sciences"/>
    <n v="1"/>
    <n v="161"/>
    <n v="2"/>
    <x v="0"/>
    <n v="72"/>
    <n v="3"/>
    <n v="1"/>
    <x v="1"/>
    <n v="2"/>
    <x v="1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  <x v="0"/>
    <x v="0"/>
    <x v="1"/>
  </r>
  <r>
    <x v="31"/>
    <x v="1"/>
    <s v="Travel_Rarely"/>
    <n v="684"/>
    <x v="1"/>
    <n v="6"/>
    <x v="3"/>
    <s v="Life Sciences"/>
    <n v="1"/>
    <n v="162"/>
    <n v="1"/>
    <x v="1"/>
    <n v="51"/>
    <n v="3"/>
    <n v="5"/>
    <x v="7"/>
    <n v="3"/>
    <x v="0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  <x v="1"/>
    <x v="0"/>
    <x v="1"/>
  </r>
  <r>
    <x v="12"/>
    <x v="0"/>
    <s v="Travel_Rarely"/>
    <n v="249"/>
    <x v="0"/>
    <n v="6"/>
    <x v="2"/>
    <s v="Life Sciences"/>
    <n v="1"/>
    <n v="163"/>
    <n v="2"/>
    <x v="1"/>
    <n v="76"/>
    <n v="1"/>
    <n v="2"/>
    <x v="0"/>
    <n v="3"/>
    <x v="1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  <x v="1"/>
    <x v="0"/>
    <x v="0"/>
  </r>
  <r>
    <x v="25"/>
    <x v="1"/>
    <s v="Travel_Rarely"/>
    <n v="841"/>
    <x v="1"/>
    <n v="6"/>
    <x v="3"/>
    <s v="Other"/>
    <n v="1"/>
    <n v="164"/>
    <n v="3"/>
    <x v="0"/>
    <n v="46"/>
    <n v="2"/>
    <n v="1"/>
    <x v="1"/>
    <n v="2"/>
    <x v="1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  <x v="0"/>
    <x v="1"/>
    <x v="1"/>
  </r>
  <r>
    <x v="34"/>
    <x v="0"/>
    <s v="Travel_Rarely"/>
    <n v="147"/>
    <x v="1"/>
    <n v="23"/>
    <x v="2"/>
    <s v="Medical"/>
    <n v="1"/>
    <n v="165"/>
    <n v="4"/>
    <x v="0"/>
    <n v="94"/>
    <n v="3"/>
    <n v="3"/>
    <x v="4"/>
    <n v="4"/>
    <x v="1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  <x v="0"/>
    <x v="2"/>
    <x v="1"/>
  </r>
  <r>
    <x v="37"/>
    <x v="0"/>
    <s v="Travel_Rarely"/>
    <n v="528"/>
    <x v="0"/>
    <n v="22"/>
    <x v="1"/>
    <s v="Marketing"/>
    <n v="1"/>
    <n v="167"/>
    <n v="4"/>
    <x v="1"/>
    <n v="50"/>
    <n v="3"/>
    <n v="1"/>
    <x v="6"/>
    <n v="3"/>
    <x v="0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  <x v="1"/>
    <x v="3"/>
    <x v="0"/>
  </r>
  <r>
    <x v="15"/>
    <x v="1"/>
    <s v="Travel_Rarely"/>
    <n v="594"/>
    <x v="1"/>
    <n v="2"/>
    <x v="1"/>
    <s v="Technical Degree"/>
    <n v="1"/>
    <n v="169"/>
    <n v="3"/>
    <x v="1"/>
    <n v="100"/>
    <n v="3"/>
    <n v="1"/>
    <x v="2"/>
    <n v="4"/>
    <x v="1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  <x v="1"/>
    <x v="4"/>
    <x v="1"/>
  </r>
  <r>
    <x v="1"/>
    <x v="1"/>
    <s v="Travel_Rarely"/>
    <n v="470"/>
    <x v="1"/>
    <n v="20"/>
    <x v="2"/>
    <s v="Medical"/>
    <n v="1"/>
    <n v="170"/>
    <n v="3"/>
    <x v="0"/>
    <n v="96"/>
    <n v="3"/>
    <n v="2"/>
    <x v="3"/>
    <n v="1"/>
    <x v="1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  <x v="0"/>
    <x v="2"/>
    <x v="1"/>
  </r>
  <r>
    <x v="23"/>
    <x v="1"/>
    <s v="Travel_Frequently"/>
    <n v="957"/>
    <x v="1"/>
    <n v="28"/>
    <x v="3"/>
    <s v="Medical"/>
    <n v="1"/>
    <n v="171"/>
    <n v="2"/>
    <x v="0"/>
    <n v="72"/>
    <n v="4"/>
    <n v="1"/>
    <x v="1"/>
    <n v="3"/>
    <x v="0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  <x v="0"/>
    <x v="2"/>
    <x v="1"/>
  </r>
  <r>
    <x v="24"/>
    <x v="1"/>
    <s v="Travel_Frequently"/>
    <n v="809"/>
    <x v="0"/>
    <n v="12"/>
    <x v="3"/>
    <s v="Marketing"/>
    <n v="1"/>
    <n v="174"/>
    <n v="3"/>
    <x v="0"/>
    <n v="77"/>
    <n v="3"/>
    <n v="3"/>
    <x v="0"/>
    <n v="4"/>
    <x v="0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  <x v="0"/>
    <x v="3"/>
    <x v="0"/>
  </r>
  <r>
    <x v="12"/>
    <x v="0"/>
    <s v="Travel_Rarely"/>
    <n v="542"/>
    <x v="0"/>
    <n v="20"/>
    <x v="3"/>
    <s v="Life Sciences"/>
    <n v="1"/>
    <n v="175"/>
    <n v="2"/>
    <x v="0"/>
    <n v="71"/>
    <n v="1"/>
    <n v="2"/>
    <x v="0"/>
    <n v="3"/>
    <x v="1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  <x v="0"/>
    <x v="0"/>
    <x v="0"/>
  </r>
  <r>
    <x v="0"/>
    <x v="1"/>
    <s v="Travel_Rarely"/>
    <n v="802"/>
    <x v="0"/>
    <n v="9"/>
    <x v="1"/>
    <s v="Life Sciences"/>
    <n v="1"/>
    <n v="176"/>
    <n v="3"/>
    <x v="1"/>
    <n v="96"/>
    <n v="3"/>
    <n v="3"/>
    <x v="0"/>
    <n v="3"/>
    <x v="2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  <x v="1"/>
    <x v="0"/>
    <x v="0"/>
  </r>
  <r>
    <x v="25"/>
    <x v="1"/>
    <s v="Travel_Rarely"/>
    <n v="1355"/>
    <x v="2"/>
    <n v="25"/>
    <x v="1"/>
    <s v="Life Sciences"/>
    <n v="1"/>
    <n v="177"/>
    <n v="3"/>
    <x v="0"/>
    <n v="61"/>
    <n v="3"/>
    <n v="1"/>
    <x v="8"/>
    <n v="3"/>
    <x v="1"/>
    <n v="2942"/>
    <n v="8916"/>
    <n v="1"/>
    <s v="Y"/>
    <s v="No"/>
    <n v="23"/>
    <n v="4"/>
    <n v="4"/>
    <n v="80"/>
    <n v="1"/>
    <n v="8"/>
    <n v="3"/>
    <n v="3"/>
    <n v="8"/>
    <n v="7"/>
    <n v="5"/>
    <n v="7"/>
    <m/>
    <x v="0"/>
    <x v="0"/>
    <x v="2"/>
  </r>
  <r>
    <x v="9"/>
    <x v="1"/>
    <s v="Travel_Rarely"/>
    <n v="216"/>
    <x v="1"/>
    <n v="6"/>
    <x v="0"/>
    <s v="Medical"/>
    <n v="1"/>
    <n v="178"/>
    <n v="2"/>
    <x v="1"/>
    <n v="84"/>
    <n v="3"/>
    <n v="2"/>
    <x v="3"/>
    <n v="2"/>
    <x v="2"/>
    <n v="4941"/>
    <n v="2819"/>
    <n v="6"/>
    <s v="Y"/>
    <s v="No"/>
    <n v="20"/>
    <n v="4"/>
    <n v="4"/>
    <n v="80"/>
    <n v="2"/>
    <n v="7"/>
    <n v="0"/>
    <n v="3"/>
    <n v="3"/>
    <n v="2"/>
    <n v="0"/>
    <n v="1"/>
    <m/>
    <x v="1"/>
    <x v="2"/>
    <x v="1"/>
  </r>
  <r>
    <x v="31"/>
    <x v="0"/>
    <s v="Travel_Frequently"/>
    <n v="1150"/>
    <x v="1"/>
    <n v="8"/>
    <x v="2"/>
    <s v="Life Sciences"/>
    <n v="1"/>
    <n v="179"/>
    <n v="1"/>
    <x v="1"/>
    <n v="53"/>
    <n v="1"/>
    <n v="3"/>
    <x v="3"/>
    <n v="4"/>
    <x v="0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  <x v="1"/>
    <x v="0"/>
    <x v="1"/>
  </r>
  <r>
    <x v="22"/>
    <x v="1"/>
    <s v="Travel_Rarely"/>
    <n v="1329"/>
    <x v="0"/>
    <n v="4"/>
    <x v="2"/>
    <s v="Life Sciences"/>
    <n v="1"/>
    <n v="182"/>
    <n v="4"/>
    <x v="0"/>
    <n v="47"/>
    <n v="2"/>
    <n v="2"/>
    <x v="0"/>
    <n v="3"/>
    <x v="1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  <x v="0"/>
    <x v="0"/>
    <x v="0"/>
  </r>
  <r>
    <x v="36"/>
    <x v="1"/>
    <s v="Travel_Rarely"/>
    <n v="959"/>
    <x v="0"/>
    <n v="28"/>
    <x v="3"/>
    <s v="Life Sciences"/>
    <n v="1"/>
    <n v="183"/>
    <n v="1"/>
    <x v="1"/>
    <n v="41"/>
    <n v="2"/>
    <n v="2"/>
    <x v="0"/>
    <n v="3"/>
    <x v="1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  <x v="1"/>
    <x v="0"/>
    <x v="0"/>
  </r>
  <r>
    <x v="7"/>
    <x v="1"/>
    <s v="Travel_Rarely"/>
    <n v="1240"/>
    <x v="2"/>
    <n v="9"/>
    <x v="3"/>
    <s v="Human Resources"/>
    <n v="1"/>
    <n v="184"/>
    <n v="3"/>
    <x v="1"/>
    <n v="48"/>
    <n v="3"/>
    <n v="2"/>
    <x v="8"/>
    <n v="4"/>
    <x v="1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  <x v="1"/>
    <x v="5"/>
    <x v="2"/>
  </r>
  <r>
    <x v="5"/>
    <x v="0"/>
    <s v="Travel_Rarely"/>
    <n v="1033"/>
    <x v="1"/>
    <n v="9"/>
    <x v="3"/>
    <s v="Medical"/>
    <n v="1"/>
    <n v="190"/>
    <n v="1"/>
    <x v="0"/>
    <n v="41"/>
    <n v="3"/>
    <n v="1"/>
    <x v="2"/>
    <n v="1"/>
    <x v="0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  <x v="0"/>
    <x v="2"/>
    <x v="1"/>
  </r>
  <r>
    <x v="28"/>
    <x v="1"/>
    <s v="Travel_Rarely"/>
    <n v="1316"/>
    <x v="1"/>
    <n v="29"/>
    <x v="3"/>
    <s v="Medical"/>
    <n v="1"/>
    <n v="192"/>
    <n v="3"/>
    <x v="1"/>
    <n v="83"/>
    <n v="3"/>
    <n v="1"/>
    <x v="1"/>
    <n v="4"/>
    <x v="0"/>
    <n v="3452"/>
    <n v="9752"/>
    <n v="5"/>
    <s v="Y"/>
    <s v="No"/>
    <n v="13"/>
    <n v="3"/>
    <n v="2"/>
    <n v="80"/>
    <n v="0"/>
    <n v="9"/>
    <n v="2"/>
    <n v="2"/>
    <n v="6"/>
    <n v="5"/>
    <n v="0"/>
    <n v="3"/>
    <m/>
    <x v="1"/>
    <x v="2"/>
    <x v="1"/>
  </r>
  <r>
    <x v="8"/>
    <x v="1"/>
    <s v="Travel_Rarely"/>
    <n v="364"/>
    <x v="1"/>
    <n v="3"/>
    <x v="4"/>
    <s v="Technical Degree"/>
    <n v="1"/>
    <n v="193"/>
    <n v="4"/>
    <x v="0"/>
    <n v="32"/>
    <n v="3"/>
    <n v="2"/>
    <x v="1"/>
    <n v="3"/>
    <x v="0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  <x v="0"/>
    <x v="4"/>
    <x v="1"/>
  </r>
  <r>
    <x v="7"/>
    <x v="1"/>
    <s v="Travel_Rarely"/>
    <n v="438"/>
    <x v="1"/>
    <n v="18"/>
    <x v="3"/>
    <s v="Life Sciences"/>
    <n v="1"/>
    <n v="194"/>
    <n v="1"/>
    <x v="0"/>
    <n v="75"/>
    <n v="3"/>
    <n v="1"/>
    <x v="1"/>
    <n v="3"/>
    <x v="0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  <x v="0"/>
    <x v="0"/>
    <x v="1"/>
  </r>
  <r>
    <x v="5"/>
    <x v="1"/>
    <s v="Travel_Frequently"/>
    <n v="689"/>
    <x v="0"/>
    <n v="9"/>
    <x v="0"/>
    <s v="Medical"/>
    <n v="1"/>
    <n v="195"/>
    <n v="4"/>
    <x v="1"/>
    <n v="35"/>
    <n v="1"/>
    <n v="2"/>
    <x v="0"/>
    <n v="4"/>
    <x v="2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  <x v="1"/>
    <x v="2"/>
    <x v="0"/>
  </r>
  <r>
    <x v="7"/>
    <x v="1"/>
    <s v="Travel_Rarely"/>
    <n v="201"/>
    <x v="1"/>
    <n v="5"/>
    <x v="3"/>
    <s v="Technical Degree"/>
    <n v="1"/>
    <n v="197"/>
    <n v="4"/>
    <x v="0"/>
    <n v="84"/>
    <n v="3"/>
    <n v="1"/>
    <x v="1"/>
    <n v="1"/>
    <x v="2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  <x v="0"/>
    <x v="4"/>
    <x v="1"/>
  </r>
  <r>
    <x v="7"/>
    <x v="1"/>
    <s v="Travel_Rarely"/>
    <n v="1427"/>
    <x v="1"/>
    <n v="2"/>
    <x v="1"/>
    <s v="Medical"/>
    <n v="1"/>
    <n v="198"/>
    <n v="2"/>
    <x v="1"/>
    <n v="35"/>
    <n v="2"/>
    <n v="1"/>
    <x v="2"/>
    <n v="4"/>
    <x v="0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  <x v="1"/>
    <x v="2"/>
    <x v="1"/>
  </r>
  <r>
    <x v="0"/>
    <x v="1"/>
    <s v="Travel_Frequently"/>
    <n v="857"/>
    <x v="1"/>
    <n v="10"/>
    <x v="3"/>
    <s v="Life Sciences"/>
    <n v="1"/>
    <n v="199"/>
    <n v="4"/>
    <x v="1"/>
    <n v="91"/>
    <n v="2"/>
    <n v="4"/>
    <x v="5"/>
    <n v="1"/>
    <x v="2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  <x v="1"/>
    <x v="0"/>
    <x v="1"/>
  </r>
  <r>
    <x v="0"/>
    <x v="1"/>
    <s v="Travel_Rarely"/>
    <n v="933"/>
    <x v="1"/>
    <n v="9"/>
    <x v="2"/>
    <s v="Life Sciences"/>
    <n v="1"/>
    <n v="200"/>
    <n v="3"/>
    <x v="1"/>
    <n v="94"/>
    <n v="3"/>
    <n v="1"/>
    <x v="2"/>
    <n v="1"/>
    <x v="1"/>
    <n v="2238"/>
    <n v="6961"/>
    <n v="2"/>
    <s v="Y"/>
    <s v="No"/>
    <n v="21"/>
    <n v="4"/>
    <n v="4"/>
    <n v="80"/>
    <n v="1"/>
    <n v="7"/>
    <n v="2"/>
    <n v="3"/>
    <n v="5"/>
    <n v="0"/>
    <n v="1"/>
    <n v="4"/>
    <m/>
    <x v="1"/>
    <x v="0"/>
    <x v="1"/>
  </r>
  <r>
    <x v="37"/>
    <x v="1"/>
    <s v="Travel_Rarely"/>
    <n v="1181"/>
    <x v="1"/>
    <n v="3"/>
    <x v="1"/>
    <s v="Medical"/>
    <n v="1"/>
    <n v="201"/>
    <n v="2"/>
    <x v="0"/>
    <n v="79"/>
    <n v="3"/>
    <n v="1"/>
    <x v="2"/>
    <n v="2"/>
    <x v="0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  <x v="0"/>
    <x v="2"/>
    <x v="1"/>
  </r>
  <r>
    <x v="32"/>
    <x v="1"/>
    <s v="Travel_Frequently"/>
    <n v="1395"/>
    <x v="1"/>
    <n v="26"/>
    <x v="3"/>
    <s v="Medical"/>
    <n v="1"/>
    <n v="202"/>
    <n v="2"/>
    <x v="0"/>
    <n v="54"/>
    <n v="3"/>
    <n v="2"/>
    <x v="1"/>
    <n v="2"/>
    <x v="2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  <x v="0"/>
    <x v="2"/>
    <x v="1"/>
  </r>
  <r>
    <x v="10"/>
    <x v="1"/>
    <s v="Travel_Rarely"/>
    <n v="662"/>
    <x v="0"/>
    <n v="1"/>
    <x v="4"/>
    <s v="Marketing"/>
    <n v="1"/>
    <n v="204"/>
    <n v="3"/>
    <x v="1"/>
    <n v="94"/>
    <n v="3"/>
    <n v="3"/>
    <x v="0"/>
    <n v="2"/>
    <x v="1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  <x v="1"/>
    <x v="3"/>
    <x v="0"/>
  </r>
  <r>
    <x v="16"/>
    <x v="1"/>
    <s v="Travel_Rarely"/>
    <n v="1436"/>
    <x v="0"/>
    <n v="6"/>
    <x v="0"/>
    <s v="Marketing"/>
    <n v="1"/>
    <n v="205"/>
    <n v="2"/>
    <x v="1"/>
    <n v="34"/>
    <n v="3"/>
    <n v="2"/>
    <x v="6"/>
    <n v="3"/>
    <x v="1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  <x v="1"/>
    <x v="3"/>
    <x v="0"/>
  </r>
  <r>
    <x v="28"/>
    <x v="1"/>
    <s v="Travel_Rarely"/>
    <n v="194"/>
    <x v="1"/>
    <n v="9"/>
    <x v="3"/>
    <s v="Life Sciences"/>
    <n v="1"/>
    <n v="206"/>
    <n v="2"/>
    <x v="1"/>
    <n v="60"/>
    <n v="3"/>
    <n v="2"/>
    <x v="2"/>
    <n v="2"/>
    <x v="2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  <x v="1"/>
    <x v="0"/>
    <x v="1"/>
  </r>
  <r>
    <x v="5"/>
    <x v="1"/>
    <s v="Travel_Frequently"/>
    <n v="967"/>
    <x v="0"/>
    <n v="8"/>
    <x v="3"/>
    <s v="Marketing"/>
    <n v="1"/>
    <n v="207"/>
    <n v="2"/>
    <x v="0"/>
    <n v="43"/>
    <n v="3"/>
    <n v="3"/>
    <x v="0"/>
    <n v="4"/>
    <x v="0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  <x v="0"/>
    <x v="3"/>
    <x v="0"/>
  </r>
  <r>
    <x v="11"/>
    <x v="1"/>
    <s v="Non-Travel"/>
    <n v="1496"/>
    <x v="1"/>
    <n v="1"/>
    <x v="1"/>
    <s v="Technical Degree"/>
    <n v="1"/>
    <n v="208"/>
    <n v="4"/>
    <x v="1"/>
    <n v="41"/>
    <n v="3"/>
    <n v="2"/>
    <x v="3"/>
    <n v="3"/>
    <x v="1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  <x v="1"/>
    <x v="4"/>
    <x v="1"/>
  </r>
  <r>
    <x v="31"/>
    <x v="1"/>
    <s v="Travel_Rarely"/>
    <n v="1169"/>
    <x v="1"/>
    <n v="7"/>
    <x v="2"/>
    <s v="Medical"/>
    <n v="1"/>
    <n v="211"/>
    <n v="2"/>
    <x v="1"/>
    <n v="34"/>
    <n v="2"/>
    <n v="2"/>
    <x v="3"/>
    <n v="3"/>
    <x v="1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  <x v="1"/>
    <x v="2"/>
    <x v="1"/>
  </r>
  <r>
    <x v="34"/>
    <x v="1"/>
    <s v="Travel_Rarely"/>
    <n v="1145"/>
    <x v="1"/>
    <n v="9"/>
    <x v="3"/>
    <s v="Medical"/>
    <n v="1"/>
    <n v="214"/>
    <n v="2"/>
    <x v="0"/>
    <n v="75"/>
    <n v="2"/>
    <n v="1"/>
    <x v="1"/>
    <n v="2"/>
    <x v="1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  <x v="0"/>
    <x v="2"/>
    <x v="1"/>
  </r>
  <r>
    <x v="32"/>
    <x v="1"/>
    <s v="Travel_Rarely"/>
    <n v="630"/>
    <x v="0"/>
    <n v="4"/>
    <x v="2"/>
    <s v="Marketing"/>
    <n v="1"/>
    <n v="215"/>
    <n v="3"/>
    <x v="1"/>
    <n v="67"/>
    <n v="2"/>
    <n v="3"/>
    <x v="0"/>
    <n v="4"/>
    <x v="1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  <x v="1"/>
    <x v="3"/>
    <x v="0"/>
  </r>
  <r>
    <x v="13"/>
    <x v="1"/>
    <s v="Travel_Frequently"/>
    <n v="303"/>
    <x v="0"/>
    <n v="2"/>
    <x v="2"/>
    <s v="Marketing"/>
    <n v="1"/>
    <n v="216"/>
    <n v="3"/>
    <x v="0"/>
    <n v="75"/>
    <n v="3"/>
    <n v="1"/>
    <x v="6"/>
    <n v="3"/>
    <x v="1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  <x v="0"/>
    <x v="3"/>
    <x v="0"/>
  </r>
  <r>
    <x v="15"/>
    <x v="1"/>
    <s v="Travel_Rarely"/>
    <n v="1256"/>
    <x v="1"/>
    <n v="19"/>
    <x v="1"/>
    <s v="Medical"/>
    <n v="1"/>
    <n v="217"/>
    <n v="3"/>
    <x v="1"/>
    <n v="80"/>
    <n v="3"/>
    <n v="1"/>
    <x v="1"/>
    <n v="4"/>
    <x v="1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  <x v="1"/>
    <x v="2"/>
    <x v="1"/>
  </r>
  <r>
    <x v="4"/>
    <x v="1"/>
    <s v="Non-Travel"/>
    <n v="691"/>
    <x v="1"/>
    <n v="9"/>
    <x v="3"/>
    <s v="Medical"/>
    <n v="1"/>
    <n v="218"/>
    <n v="4"/>
    <x v="1"/>
    <n v="57"/>
    <n v="3"/>
    <n v="1"/>
    <x v="1"/>
    <n v="2"/>
    <x v="2"/>
    <n v="2024"/>
    <n v="5970"/>
    <n v="6"/>
    <s v="Y"/>
    <s v="No"/>
    <n v="18"/>
    <n v="3"/>
    <n v="4"/>
    <n v="80"/>
    <n v="1"/>
    <n v="6"/>
    <n v="1"/>
    <n v="1"/>
    <n v="2"/>
    <n v="2"/>
    <n v="2"/>
    <n v="2"/>
    <m/>
    <x v="1"/>
    <x v="2"/>
    <x v="1"/>
  </r>
  <r>
    <x v="14"/>
    <x v="1"/>
    <s v="Travel_Rarely"/>
    <n v="440"/>
    <x v="1"/>
    <n v="21"/>
    <x v="3"/>
    <s v="Medical"/>
    <n v="1"/>
    <n v="221"/>
    <n v="3"/>
    <x v="1"/>
    <n v="42"/>
    <n v="3"/>
    <n v="1"/>
    <x v="1"/>
    <n v="4"/>
    <x v="1"/>
    <n v="2713"/>
    <n v="6672"/>
    <n v="1"/>
    <s v="Y"/>
    <s v="No"/>
    <n v="11"/>
    <n v="3"/>
    <n v="3"/>
    <n v="80"/>
    <n v="1"/>
    <n v="5"/>
    <n v="2"/>
    <n v="1"/>
    <n v="5"/>
    <n v="2"/>
    <n v="0"/>
    <n v="2"/>
    <m/>
    <x v="1"/>
    <x v="2"/>
    <x v="1"/>
  </r>
  <r>
    <x v="38"/>
    <x v="1"/>
    <s v="Travel_Rarely"/>
    <n v="334"/>
    <x v="1"/>
    <n v="24"/>
    <x v="0"/>
    <s v="Life Sciences"/>
    <n v="1"/>
    <n v="223"/>
    <n v="3"/>
    <x v="1"/>
    <n v="83"/>
    <n v="4"/>
    <n v="3"/>
    <x v="4"/>
    <n v="4"/>
    <x v="2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  <x v="1"/>
    <x v="0"/>
    <x v="1"/>
  </r>
  <r>
    <x v="4"/>
    <x v="1"/>
    <s v="Non-Travel"/>
    <n v="1450"/>
    <x v="1"/>
    <n v="3"/>
    <x v="3"/>
    <s v="Medical"/>
    <n v="1"/>
    <n v="224"/>
    <n v="3"/>
    <x v="1"/>
    <n v="79"/>
    <n v="2"/>
    <n v="1"/>
    <x v="1"/>
    <n v="3"/>
    <x v="2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  <x v="1"/>
    <x v="2"/>
    <x v="1"/>
  </r>
  <r>
    <x v="24"/>
    <x v="1"/>
    <s v="Travel_Rarely"/>
    <n v="1452"/>
    <x v="1"/>
    <n v="11"/>
    <x v="3"/>
    <s v="Life Sciences"/>
    <n v="1"/>
    <n v="226"/>
    <n v="3"/>
    <x v="0"/>
    <n v="53"/>
    <n v="3"/>
    <n v="5"/>
    <x v="5"/>
    <n v="2"/>
    <x v="0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  <x v="0"/>
    <x v="0"/>
    <x v="1"/>
  </r>
  <r>
    <x v="0"/>
    <x v="1"/>
    <s v="Travel_Rarely"/>
    <n v="465"/>
    <x v="1"/>
    <n v="14"/>
    <x v="3"/>
    <s v="Life Sciences"/>
    <n v="1"/>
    <n v="227"/>
    <n v="1"/>
    <x v="1"/>
    <n v="56"/>
    <n v="3"/>
    <n v="1"/>
    <x v="1"/>
    <n v="3"/>
    <x v="2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  <x v="1"/>
    <x v="0"/>
    <x v="1"/>
  </r>
  <r>
    <x v="7"/>
    <x v="1"/>
    <s v="Travel_Rarely"/>
    <n v="1339"/>
    <x v="0"/>
    <n v="5"/>
    <x v="3"/>
    <s v="Life Sciences"/>
    <n v="1"/>
    <n v="228"/>
    <n v="2"/>
    <x v="0"/>
    <n v="41"/>
    <n v="3"/>
    <n v="3"/>
    <x v="0"/>
    <n v="4"/>
    <x v="1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  <x v="0"/>
    <x v="0"/>
    <x v="0"/>
  </r>
  <r>
    <x v="8"/>
    <x v="1"/>
    <s v="Travel_Rarely"/>
    <n v="702"/>
    <x v="0"/>
    <n v="1"/>
    <x v="2"/>
    <s v="Life Sciences"/>
    <n v="1"/>
    <n v="230"/>
    <n v="1"/>
    <x v="0"/>
    <n v="59"/>
    <n v="2"/>
    <n v="2"/>
    <x v="0"/>
    <n v="4"/>
    <x v="0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  <x v="0"/>
    <x v="0"/>
    <x v="0"/>
  </r>
  <r>
    <x v="5"/>
    <x v="1"/>
    <s v="Travel_Rarely"/>
    <n v="120"/>
    <x v="1"/>
    <n v="6"/>
    <x v="4"/>
    <s v="Life Sciences"/>
    <n v="1"/>
    <n v="231"/>
    <n v="3"/>
    <x v="1"/>
    <n v="43"/>
    <n v="3"/>
    <n v="1"/>
    <x v="1"/>
    <n v="3"/>
    <x v="0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  <x v="1"/>
    <x v="0"/>
    <x v="1"/>
  </r>
  <r>
    <x v="4"/>
    <x v="1"/>
    <s v="Travel_Rarely"/>
    <n v="1157"/>
    <x v="1"/>
    <n v="17"/>
    <x v="3"/>
    <s v="Technical Degree"/>
    <n v="1"/>
    <n v="233"/>
    <n v="3"/>
    <x v="1"/>
    <n v="51"/>
    <n v="3"/>
    <n v="1"/>
    <x v="1"/>
    <n v="2"/>
    <x v="1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  <x v="1"/>
    <x v="4"/>
    <x v="1"/>
  </r>
  <r>
    <x v="37"/>
    <x v="0"/>
    <s v="Travel_Frequently"/>
    <n v="602"/>
    <x v="0"/>
    <n v="1"/>
    <x v="1"/>
    <s v="Technical Degree"/>
    <n v="1"/>
    <n v="235"/>
    <n v="3"/>
    <x v="0"/>
    <n v="100"/>
    <n v="1"/>
    <n v="1"/>
    <x v="6"/>
    <n v="1"/>
    <x v="0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  <x v="0"/>
    <x v="4"/>
    <x v="0"/>
  </r>
  <r>
    <x v="9"/>
    <x v="1"/>
    <s v="Travel_Frequently"/>
    <n v="1480"/>
    <x v="1"/>
    <n v="3"/>
    <x v="0"/>
    <s v="Medical"/>
    <n v="1"/>
    <n v="238"/>
    <n v="4"/>
    <x v="1"/>
    <n v="30"/>
    <n v="3"/>
    <n v="1"/>
    <x v="2"/>
    <n v="2"/>
    <x v="0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  <x v="1"/>
    <x v="2"/>
    <x v="1"/>
  </r>
  <r>
    <x v="7"/>
    <x v="1"/>
    <s v="Non-Travel"/>
    <n v="111"/>
    <x v="1"/>
    <n v="9"/>
    <x v="3"/>
    <s v="Medical"/>
    <n v="1"/>
    <n v="239"/>
    <n v="3"/>
    <x v="1"/>
    <n v="66"/>
    <n v="3"/>
    <n v="2"/>
    <x v="2"/>
    <n v="1"/>
    <x v="2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  <x v="1"/>
    <x v="2"/>
    <x v="1"/>
  </r>
  <r>
    <x v="28"/>
    <x v="1"/>
    <s v="Travel_Rarely"/>
    <n v="1268"/>
    <x v="0"/>
    <n v="4"/>
    <x v="0"/>
    <s v="Life Sciences"/>
    <n v="1"/>
    <n v="240"/>
    <n v="3"/>
    <x v="0"/>
    <n v="30"/>
    <n v="3"/>
    <n v="2"/>
    <x v="0"/>
    <n v="1"/>
    <x v="2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  <x v="0"/>
    <x v="0"/>
    <x v="0"/>
  </r>
  <r>
    <x v="29"/>
    <x v="1"/>
    <s v="Travel_Rarely"/>
    <n v="713"/>
    <x v="1"/>
    <n v="8"/>
    <x v="3"/>
    <s v="Life Sciences"/>
    <n v="1"/>
    <n v="241"/>
    <n v="3"/>
    <x v="0"/>
    <n v="67"/>
    <n v="3"/>
    <n v="1"/>
    <x v="1"/>
    <n v="1"/>
    <x v="2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  <x v="0"/>
    <x v="0"/>
    <x v="1"/>
  </r>
  <r>
    <x v="3"/>
    <x v="1"/>
    <s v="Travel_Rarely"/>
    <n v="134"/>
    <x v="1"/>
    <n v="2"/>
    <x v="3"/>
    <s v="Life Sciences"/>
    <n v="1"/>
    <n v="242"/>
    <n v="3"/>
    <x v="1"/>
    <n v="90"/>
    <n v="3"/>
    <n v="1"/>
    <x v="1"/>
    <n v="4"/>
    <x v="0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  <x v="1"/>
    <x v="0"/>
    <x v="1"/>
  </r>
  <r>
    <x v="37"/>
    <x v="0"/>
    <s v="Travel_Rarely"/>
    <n v="303"/>
    <x v="1"/>
    <n v="2"/>
    <x v="3"/>
    <s v="Life Sciences"/>
    <n v="1"/>
    <n v="243"/>
    <n v="2"/>
    <x v="1"/>
    <n v="47"/>
    <n v="2"/>
    <n v="1"/>
    <x v="2"/>
    <n v="4"/>
    <x v="0"/>
    <n v="1102"/>
    <n v="9241"/>
    <n v="1"/>
    <s v="Y"/>
    <s v="No"/>
    <n v="22"/>
    <n v="4"/>
    <n v="3"/>
    <n v="80"/>
    <n v="0"/>
    <n v="1"/>
    <n v="3"/>
    <n v="2"/>
    <n v="1"/>
    <n v="0"/>
    <n v="1"/>
    <n v="0"/>
    <m/>
    <x v="1"/>
    <x v="0"/>
    <x v="1"/>
  </r>
  <r>
    <x v="21"/>
    <x v="1"/>
    <s v="Travel_Rarely"/>
    <n v="526"/>
    <x v="0"/>
    <n v="1"/>
    <x v="0"/>
    <s v="Marketing"/>
    <n v="1"/>
    <n v="244"/>
    <n v="2"/>
    <x v="0"/>
    <n v="92"/>
    <n v="3"/>
    <n v="3"/>
    <x v="0"/>
    <n v="1"/>
    <x v="2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  <x v="0"/>
    <x v="3"/>
    <x v="0"/>
  </r>
  <r>
    <x v="8"/>
    <x v="1"/>
    <s v="Travel_Rarely"/>
    <n v="1380"/>
    <x v="1"/>
    <n v="9"/>
    <x v="0"/>
    <s v="Life Sciences"/>
    <n v="1"/>
    <n v="245"/>
    <n v="3"/>
    <x v="0"/>
    <n v="75"/>
    <n v="3"/>
    <n v="1"/>
    <x v="2"/>
    <n v="4"/>
    <x v="0"/>
    <n v="2288"/>
    <n v="6319"/>
    <n v="1"/>
    <s v="Y"/>
    <s v="No"/>
    <n v="12"/>
    <n v="3"/>
    <n v="3"/>
    <n v="80"/>
    <n v="0"/>
    <n v="2"/>
    <n v="3"/>
    <n v="3"/>
    <n v="2"/>
    <n v="2"/>
    <n v="2"/>
    <n v="1"/>
    <m/>
    <x v="0"/>
    <x v="0"/>
    <x v="1"/>
  </r>
  <r>
    <x v="12"/>
    <x v="1"/>
    <s v="Travel_Rarely"/>
    <n v="140"/>
    <x v="1"/>
    <n v="12"/>
    <x v="1"/>
    <s v="Medical"/>
    <n v="1"/>
    <n v="246"/>
    <n v="3"/>
    <x v="0"/>
    <n v="95"/>
    <n v="3"/>
    <n v="1"/>
    <x v="1"/>
    <n v="4"/>
    <x v="1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  <x v="0"/>
    <x v="2"/>
    <x v="1"/>
  </r>
  <r>
    <x v="13"/>
    <x v="1"/>
    <s v="Travel_Rarely"/>
    <n v="629"/>
    <x v="1"/>
    <n v="27"/>
    <x v="0"/>
    <s v="Medical"/>
    <n v="1"/>
    <n v="247"/>
    <n v="4"/>
    <x v="0"/>
    <n v="95"/>
    <n v="3"/>
    <n v="1"/>
    <x v="1"/>
    <n v="2"/>
    <x v="0"/>
    <n v="2311"/>
    <n v="5711"/>
    <n v="2"/>
    <s v="Y"/>
    <s v="No"/>
    <n v="15"/>
    <n v="3"/>
    <n v="4"/>
    <n v="80"/>
    <n v="0"/>
    <n v="9"/>
    <n v="3"/>
    <n v="3"/>
    <n v="3"/>
    <n v="2"/>
    <n v="1"/>
    <n v="2"/>
    <m/>
    <x v="0"/>
    <x v="2"/>
    <x v="1"/>
  </r>
  <r>
    <x v="0"/>
    <x v="0"/>
    <s v="Travel_Rarely"/>
    <n v="1356"/>
    <x v="0"/>
    <n v="20"/>
    <x v="0"/>
    <s v="Marketing"/>
    <n v="1"/>
    <n v="248"/>
    <n v="2"/>
    <x v="0"/>
    <n v="70"/>
    <n v="3"/>
    <n v="1"/>
    <x v="6"/>
    <n v="2"/>
    <x v="0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  <x v="0"/>
    <x v="3"/>
    <x v="0"/>
  </r>
  <r>
    <x v="24"/>
    <x v="1"/>
    <s v="Travel_Rarely"/>
    <n v="328"/>
    <x v="1"/>
    <n v="1"/>
    <x v="3"/>
    <s v="Medical"/>
    <n v="1"/>
    <n v="249"/>
    <n v="3"/>
    <x v="1"/>
    <n v="86"/>
    <n v="2"/>
    <n v="1"/>
    <x v="2"/>
    <n v="3"/>
    <x v="1"/>
    <n v="3690"/>
    <n v="3425"/>
    <n v="2"/>
    <s v="Y"/>
    <s v="No"/>
    <n v="15"/>
    <n v="3"/>
    <n v="4"/>
    <n v="80"/>
    <n v="1"/>
    <n v="5"/>
    <n v="2"/>
    <n v="2"/>
    <n v="3"/>
    <n v="2"/>
    <n v="0"/>
    <n v="2"/>
    <m/>
    <x v="1"/>
    <x v="2"/>
    <x v="1"/>
  </r>
  <r>
    <x v="16"/>
    <x v="1"/>
    <s v="Travel_Rarely"/>
    <n v="1084"/>
    <x v="1"/>
    <n v="13"/>
    <x v="0"/>
    <s v="Medical"/>
    <n v="1"/>
    <n v="250"/>
    <n v="4"/>
    <x v="0"/>
    <n v="57"/>
    <n v="4"/>
    <n v="2"/>
    <x v="3"/>
    <n v="1"/>
    <x v="2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  <x v="0"/>
    <x v="2"/>
    <x v="1"/>
  </r>
  <r>
    <x v="3"/>
    <x v="1"/>
    <s v="Travel_Rarely"/>
    <n v="931"/>
    <x v="1"/>
    <n v="14"/>
    <x v="3"/>
    <s v="Medical"/>
    <n v="1"/>
    <n v="252"/>
    <n v="4"/>
    <x v="0"/>
    <n v="72"/>
    <n v="3"/>
    <n v="1"/>
    <x v="1"/>
    <n v="2"/>
    <x v="1"/>
    <n v="2756"/>
    <n v="4673"/>
    <n v="1"/>
    <s v="Y"/>
    <s v="No"/>
    <n v="13"/>
    <n v="3"/>
    <n v="4"/>
    <n v="80"/>
    <n v="1"/>
    <n v="8"/>
    <n v="5"/>
    <n v="3"/>
    <n v="8"/>
    <n v="7"/>
    <n v="1"/>
    <n v="6"/>
    <m/>
    <x v="0"/>
    <x v="2"/>
    <x v="1"/>
  </r>
  <r>
    <x v="32"/>
    <x v="1"/>
    <s v="Travel_Rarely"/>
    <n v="989"/>
    <x v="1"/>
    <n v="4"/>
    <x v="1"/>
    <s v="Medical"/>
    <n v="1"/>
    <n v="253"/>
    <n v="4"/>
    <x v="0"/>
    <n v="46"/>
    <n v="3"/>
    <n v="5"/>
    <x v="5"/>
    <n v="3"/>
    <x v="1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  <x v="0"/>
    <x v="2"/>
    <x v="1"/>
  </r>
  <r>
    <x v="27"/>
    <x v="1"/>
    <s v="Travel_Rarely"/>
    <n v="692"/>
    <x v="1"/>
    <n v="14"/>
    <x v="2"/>
    <s v="Medical"/>
    <n v="1"/>
    <n v="254"/>
    <n v="3"/>
    <x v="1"/>
    <n v="61"/>
    <n v="4"/>
    <n v="5"/>
    <x v="7"/>
    <n v="2"/>
    <x v="0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  <x v="1"/>
    <x v="2"/>
    <x v="1"/>
  </r>
  <r>
    <x v="13"/>
    <x v="1"/>
    <s v="Travel_Frequently"/>
    <n v="1069"/>
    <x v="1"/>
    <n v="2"/>
    <x v="1"/>
    <s v="Life Sciences"/>
    <n v="1"/>
    <n v="256"/>
    <n v="4"/>
    <x v="1"/>
    <n v="45"/>
    <n v="2"/>
    <n v="2"/>
    <x v="3"/>
    <n v="3"/>
    <x v="1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  <x v="1"/>
    <x v="0"/>
    <x v="1"/>
  </r>
  <r>
    <x v="31"/>
    <x v="1"/>
    <s v="Travel_Rarely"/>
    <n v="313"/>
    <x v="1"/>
    <n v="3"/>
    <x v="3"/>
    <s v="Medical"/>
    <n v="1"/>
    <n v="258"/>
    <n v="4"/>
    <x v="0"/>
    <n v="98"/>
    <n v="3"/>
    <n v="4"/>
    <x v="4"/>
    <n v="2"/>
    <x v="0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  <x v="0"/>
    <x v="2"/>
    <x v="1"/>
  </r>
  <r>
    <x v="39"/>
    <x v="1"/>
    <s v="Travel_Rarely"/>
    <n v="699"/>
    <x v="1"/>
    <n v="1"/>
    <x v="2"/>
    <s v="Life Sciences"/>
    <n v="1"/>
    <n v="259"/>
    <n v="3"/>
    <x v="1"/>
    <n v="65"/>
    <n v="2"/>
    <n v="5"/>
    <x v="5"/>
    <n v="3"/>
    <x v="1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  <x v="1"/>
    <x v="0"/>
    <x v="1"/>
  </r>
  <r>
    <x v="4"/>
    <x v="1"/>
    <s v="Travel_Rarely"/>
    <n v="894"/>
    <x v="1"/>
    <n v="9"/>
    <x v="3"/>
    <s v="Medical"/>
    <n v="1"/>
    <n v="260"/>
    <n v="4"/>
    <x v="0"/>
    <n v="99"/>
    <n v="3"/>
    <n v="1"/>
    <x v="1"/>
    <n v="2"/>
    <x v="0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  <x v="0"/>
    <x v="2"/>
    <x v="1"/>
  </r>
  <r>
    <x v="10"/>
    <x v="0"/>
    <s v="Travel_Rarely"/>
    <n v="556"/>
    <x v="1"/>
    <n v="23"/>
    <x v="0"/>
    <s v="Life Sciences"/>
    <n v="1"/>
    <n v="261"/>
    <n v="2"/>
    <x v="1"/>
    <n v="50"/>
    <n v="2"/>
    <n v="2"/>
    <x v="3"/>
    <n v="3"/>
    <x v="1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  <x v="1"/>
    <x v="0"/>
    <x v="1"/>
  </r>
  <r>
    <x v="23"/>
    <x v="1"/>
    <s v="Non-Travel"/>
    <n v="1344"/>
    <x v="1"/>
    <n v="7"/>
    <x v="3"/>
    <s v="Medical"/>
    <n v="1"/>
    <n v="262"/>
    <n v="4"/>
    <x v="1"/>
    <n v="37"/>
    <n v="4"/>
    <n v="1"/>
    <x v="1"/>
    <n v="4"/>
    <x v="2"/>
    <n v="2089"/>
    <n v="5228"/>
    <n v="4"/>
    <s v="Y"/>
    <s v="No"/>
    <n v="14"/>
    <n v="3"/>
    <n v="4"/>
    <n v="80"/>
    <n v="3"/>
    <n v="7"/>
    <n v="3"/>
    <n v="4"/>
    <n v="5"/>
    <n v="4"/>
    <n v="2"/>
    <n v="2"/>
    <m/>
    <x v="1"/>
    <x v="2"/>
    <x v="1"/>
  </r>
  <r>
    <x v="28"/>
    <x v="1"/>
    <s v="Non-Travel"/>
    <n v="1195"/>
    <x v="1"/>
    <n v="2"/>
    <x v="0"/>
    <s v="Medical"/>
    <n v="1"/>
    <n v="264"/>
    <n v="1"/>
    <x v="1"/>
    <n v="65"/>
    <n v="2"/>
    <n v="4"/>
    <x v="5"/>
    <n v="4"/>
    <x v="1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  <x v="1"/>
    <x v="2"/>
    <x v="1"/>
  </r>
  <r>
    <x v="2"/>
    <x v="1"/>
    <s v="Travel_Rarely"/>
    <n v="290"/>
    <x v="1"/>
    <n v="21"/>
    <x v="3"/>
    <s v="Life Sciences"/>
    <n v="1"/>
    <n v="267"/>
    <n v="2"/>
    <x v="1"/>
    <n v="65"/>
    <n v="4"/>
    <n v="1"/>
    <x v="1"/>
    <n v="1"/>
    <x v="1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  <x v="1"/>
    <x v="0"/>
    <x v="1"/>
  </r>
  <r>
    <x v="10"/>
    <x v="1"/>
    <s v="Travel_Frequently"/>
    <n v="138"/>
    <x v="1"/>
    <n v="2"/>
    <x v="3"/>
    <s v="Medical"/>
    <n v="1"/>
    <n v="269"/>
    <n v="2"/>
    <x v="0"/>
    <n v="37"/>
    <n v="3"/>
    <n v="2"/>
    <x v="2"/>
    <n v="2"/>
    <x v="0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  <x v="0"/>
    <x v="2"/>
    <x v="1"/>
  </r>
  <r>
    <x v="19"/>
    <x v="1"/>
    <s v="Non-Travel"/>
    <n v="926"/>
    <x v="1"/>
    <n v="21"/>
    <x v="0"/>
    <s v="Medical"/>
    <n v="1"/>
    <n v="270"/>
    <n v="3"/>
    <x v="0"/>
    <n v="36"/>
    <n v="3"/>
    <n v="2"/>
    <x v="3"/>
    <n v="3"/>
    <x v="2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  <x v="0"/>
    <x v="2"/>
    <x v="1"/>
  </r>
  <r>
    <x v="8"/>
    <x v="1"/>
    <s v="Travel_Rarely"/>
    <n v="1261"/>
    <x v="1"/>
    <n v="2"/>
    <x v="2"/>
    <s v="Life Sciences"/>
    <n v="1"/>
    <n v="271"/>
    <n v="4"/>
    <x v="1"/>
    <n v="88"/>
    <n v="3"/>
    <n v="2"/>
    <x v="3"/>
    <n v="3"/>
    <x v="1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  <x v="1"/>
    <x v="0"/>
    <x v="1"/>
  </r>
  <r>
    <x v="8"/>
    <x v="1"/>
    <s v="Travel_Rarely"/>
    <n v="1084"/>
    <x v="1"/>
    <n v="29"/>
    <x v="3"/>
    <s v="Technical Degree"/>
    <n v="1"/>
    <n v="273"/>
    <n v="4"/>
    <x v="1"/>
    <n v="54"/>
    <n v="3"/>
    <n v="2"/>
    <x v="3"/>
    <n v="4"/>
    <x v="1"/>
    <n v="6261"/>
    <n v="4185"/>
    <n v="3"/>
    <s v="Y"/>
    <s v="No"/>
    <n v="18"/>
    <n v="3"/>
    <n v="1"/>
    <n v="80"/>
    <n v="1"/>
    <n v="9"/>
    <n v="3"/>
    <n v="1"/>
    <n v="7"/>
    <n v="7"/>
    <n v="1"/>
    <n v="7"/>
    <m/>
    <x v="1"/>
    <x v="4"/>
    <x v="1"/>
  </r>
  <r>
    <x v="4"/>
    <x v="1"/>
    <s v="Travel_Frequently"/>
    <n v="472"/>
    <x v="1"/>
    <n v="1"/>
    <x v="1"/>
    <s v="Technical Degree"/>
    <n v="1"/>
    <n v="274"/>
    <n v="3"/>
    <x v="1"/>
    <n v="60"/>
    <n v="2"/>
    <n v="2"/>
    <x v="3"/>
    <n v="1"/>
    <x v="1"/>
    <n v="4298"/>
    <n v="9679"/>
    <n v="5"/>
    <s v="Y"/>
    <s v="No"/>
    <n v="19"/>
    <n v="3"/>
    <n v="3"/>
    <n v="80"/>
    <n v="1"/>
    <n v="6"/>
    <n v="1"/>
    <n v="3"/>
    <n v="2"/>
    <n v="2"/>
    <n v="2"/>
    <n v="0"/>
    <m/>
    <x v="1"/>
    <x v="4"/>
    <x v="1"/>
  </r>
  <r>
    <x v="1"/>
    <x v="1"/>
    <s v="Non-Travel"/>
    <n v="1002"/>
    <x v="1"/>
    <n v="18"/>
    <x v="2"/>
    <s v="Life Sciences"/>
    <n v="1"/>
    <n v="275"/>
    <n v="4"/>
    <x v="1"/>
    <n v="92"/>
    <n v="3"/>
    <n v="2"/>
    <x v="3"/>
    <n v="4"/>
    <x v="2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  <x v="1"/>
    <x v="0"/>
    <x v="1"/>
  </r>
  <r>
    <x v="13"/>
    <x v="1"/>
    <s v="Travel_Frequently"/>
    <n v="878"/>
    <x v="1"/>
    <n v="10"/>
    <x v="2"/>
    <s v="Medical"/>
    <n v="1"/>
    <n v="277"/>
    <n v="4"/>
    <x v="1"/>
    <n v="43"/>
    <n v="3"/>
    <n v="1"/>
    <x v="1"/>
    <n v="3"/>
    <x v="2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  <x v="1"/>
    <x v="2"/>
    <x v="1"/>
  </r>
  <r>
    <x v="32"/>
    <x v="1"/>
    <s v="Travel_Rarely"/>
    <n v="905"/>
    <x v="1"/>
    <n v="19"/>
    <x v="0"/>
    <s v="Medical"/>
    <n v="1"/>
    <n v="281"/>
    <n v="3"/>
    <x v="1"/>
    <n v="99"/>
    <n v="3"/>
    <n v="2"/>
    <x v="2"/>
    <n v="4"/>
    <x v="1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  <x v="1"/>
    <x v="2"/>
    <x v="1"/>
  </r>
  <r>
    <x v="8"/>
    <x v="0"/>
    <s v="Travel_Rarely"/>
    <n v="1180"/>
    <x v="1"/>
    <n v="29"/>
    <x v="1"/>
    <s v="Medical"/>
    <n v="1"/>
    <n v="282"/>
    <n v="2"/>
    <x v="1"/>
    <n v="70"/>
    <n v="3"/>
    <n v="2"/>
    <x v="4"/>
    <n v="1"/>
    <x v="1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  <x v="1"/>
    <x v="2"/>
    <x v="1"/>
  </r>
  <r>
    <x v="11"/>
    <x v="0"/>
    <s v="Travel_Rarely"/>
    <n v="121"/>
    <x v="0"/>
    <n v="27"/>
    <x v="3"/>
    <s v="Marketing"/>
    <n v="1"/>
    <n v="283"/>
    <n v="2"/>
    <x v="0"/>
    <n v="35"/>
    <n v="3"/>
    <n v="3"/>
    <x v="0"/>
    <n v="4"/>
    <x v="1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  <x v="0"/>
    <x v="3"/>
    <x v="0"/>
  </r>
  <r>
    <x v="15"/>
    <x v="1"/>
    <s v="Travel_Rarely"/>
    <n v="1136"/>
    <x v="1"/>
    <n v="5"/>
    <x v="3"/>
    <s v="Life Sciences"/>
    <n v="1"/>
    <n v="284"/>
    <n v="4"/>
    <x v="1"/>
    <n v="60"/>
    <n v="4"/>
    <n v="1"/>
    <x v="1"/>
    <n v="2"/>
    <x v="2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  <x v="1"/>
    <x v="0"/>
    <x v="1"/>
  </r>
  <r>
    <x v="9"/>
    <x v="1"/>
    <s v="Travel_Frequently"/>
    <n v="635"/>
    <x v="1"/>
    <n v="18"/>
    <x v="1"/>
    <s v="Medical"/>
    <n v="1"/>
    <n v="286"/>
    <n v="2"/>
    <x v="0"/>
    <n v="73"/>
    <n v="3"/>
    <n v="1"/>
    <x v="2"/>
    <n v="4"/>
    <x v="0"/>
    <n v="2153"/>
    <n v="7703"/>
    <n v="1"/>
    <s v="Y"/>
    <s v="No"/>
    <n v="13"/>
    <n v="3"/>
    <n v="1"/>
    <n v="80"/>
    <n v="0"/>
    <n v="8"/>
    <n v="2"/>
    <n v="3"/>
    <n v="8"/>
    <n v="1"/>
    <n v="1"/>
    <n v="7"/>
    <m/>
    <x v="0"/>
    <x v="2"/>
    <x v="1"/>
  </r>
  <r>
    <x v="32"/>
    <x v="1"/>
    <s v="Non-Travel"/>
    <n v="1151"/>
    <x v="1"/>
    <n v="9"/>
    <x v="4"/>
    <s v="Life Sciences"/>
    <n v="1"/>
    <n v="287"/>
    <n v="4"/>
    <x v="1"/>
    <n v="63"/>
    <n v="2"/>
    <n v="2"/>
    <x v="4"/>
    <n v="4"/>
    <x v="1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  <x v="1"/>
    <x v="0"/>
    <x v="1"/>
  </r>
  <r>
    <x v="21"/>
    <x v="1"/>
    <s v="Travel_Rarely"/>
    <n v="644"/>
    <x v="1"/>
    <n v="1"/>
    <x v="2"/>
    <s v="Medical"/>
    <n v="1"/>
    <n v="288"/>
    <n v="4"/>
    <x v="1"/>
    <n v="97"/>
    <n v="3"/>
    <n v="3"/>
    <x v="4"/>
    <n v="1"/>
    <x v="2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  <x v="1"/>
    <x v="2"/>
    <x v="1"/>
  </r>
  <r>
    <x v="5"/>
    <x v="0"/>
    <s v="Travel_Rarely"/>
    <n v="1045"/>
    <x v="0"/>
    <n v="4"/>
    <x v="2"/>
    <s v="Medical"/>
    <n v="1"/>
    <n v="291"/>
    <n v="4"/>
    <x v="1"/>
    <n v="32"/>
    <n v="1"/>
    <n v="3"/>
    <x v="0"/>
    <n v="4"/>
    <x v="1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  <x v="1"/>
    <x v="2"/>
    <x v="0"/>
  </r>
  <r>
    <x v="7"/>
    <x v="1"/>
    <s v="Non-Travel"/>
    <n v="829"/>
    <x v="1"/>
    <n v="1"/>
    <x v="1"/>
    <s v="Life Sciences"/>
    <n v="1"/>
    <n v="292"/>
    <n v="3"/>
    <x v="1"/>
    <n v="88"/>
    <n v="2"/>
    <n v="3"/>
    <x v="3"/>
    <n v="3"/>
    <x v="0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  <x v="1"/>
    <x v="0"/>
    <x v="1"/>
  </r>
  <r>
    <x v="4"/>
    <x v="1"/>
    <s v="Travel_Frequently"/>
    <n v="1242"/>
    <x v="0"/>
    <n v="20"/>
    <x v="3"/>
    <s v="Life Sciences"/>
    <n v="1"/>
    <n v="293"/>
    <n v="4"/>
    <x v="0"/>
    <n v="90"/>
    <n v="3"/>
    <n v="2"/>
    <x v="0"/>
    <n v="3"/>
    <x v="0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  <x v="0"/>
    <x v="0"/>
    <x v="0"/>
  </r>
  <r>
    <x v="31"/>
    <x v="1"/>
    <s v="Travel_Rarely"/>
    <n v="1469"/>
    <x v="1"/>
    <n v="8"/>
    <x v="2"/>
    <s v="Life Sciences"/>
    <n v="1"/>
    <n v="296"/>
    <n v="2"/>
    <x v="1"/>
    <n v="81"/>
    <n v="2"/>
    <n v="3"/>
    <x v="7"/>
    <n v="2"/>
    <x v="1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  <x v="1"/>
    <x v="0"/>
    <x v="1"/>
  </r>
  <r>
    <x v="7"/>
    <x v="0"/>
    <s v="Travel_Rarely"/>
    <n v="1005"/>
    <x v="1"/>
    <n v="3"/>
    <x v="3"/>
    <s v="Technical Degree"/>
    <n v="1"/>
    <n v="297"/>
    <n v="4"/>
    <x v="0"/>
    <n v="88"/>
    <n v="3"/>
    <n v="1"/>
    <x v="1"/>
    <n v="1"/>
    <x v="0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  <x v="0"/>
    <x v="4"/>
    <x v="1"/>
  </r>
  <r>
    <x v="0"/>
    <x v="1"/>
    <s v="Travel_Rarely"/>
    <n v="896"/>
    <x v="0"/>
    <n v="6"/>
    <x v="3"/>
    <s v="Life Sciences"/>
    <n v="1"/>
    <n v="298"/>
    <n v="4"/>
    <x v="0"/>
    <n v="75"/>
    <n v="3"/>
    <n v="3"/>
    <x v="5"/>
    <n v="4"/>
    <x v="0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  <x v="0"/>
    <x v="0"/>
    <x v="0"/>
  </r>
  <r>
    <x v="7"/>
    <x v="0"/>
    <s v="Travel_Frequently"/>
    <n v="334"/>
    <x v="0"/>
    <n v="26"/>
    <x v="2"/>
    <s v="Marketing"/>
    <n v="1"/>
    <n v="299"/>
    <n v="3"/>
    <x v="0"/>
    <n v="52"/>
    <n v="2"/>
    <n v="2"/>
    <x v="0"/>
    <n v="1"/>
    <x v="0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  <x v="0"/>
    <x v="3"/>
    <x v="0"/>
  </r>
  <r>
    <x v="11"/>
    <x v="0"/>
    <s v="Travel_Rarely"/>
    <n v="992"/>
    <x v="1"/>
    <n v="1"/>
    <x v="3"/>
    <s v="Technical Degree"/>
    <n v="1"/>
    <n v="300"/>
    <n v="3"/>
    <x v="1"/>
    <n v="85"/>
    <n v="3"/>
    <n v="1"/>
    <x v="1"/>
    <n v="3"/>
    <x v="0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  <x v="1"/>
    <x v="4"/>
    <x v="1"/>
  </r>
  <r>
    <x v="28"/>
    <x v="1"/>
    <s v="Non-Travel"/>
    <n v="1052"/>
    <x v="0"/>
    <n v="6"/>
    <x v="3"/>
    <s v="Medical"/>
    <n v="1"/>
    <n v="302"/>
    <n v="4"/>
    <x v="0"/>
    <n v="57"/>
    <n v="2"/>
    <n v="3"/>
    <x v="0"/>
    <n v="4"/>
    <x v="0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  <x v="0"/>
    <x v="2"/>
    <x v="0"/>
  </r>
  <r>
    <x v="33"/>
    <x v="1"/>
    <s v="Travel_Rarely"/>
    <n v="1147"/>
    <x v="0"/>
    <n v="3"/>
    <x v="3"/>
    <s v="Marketing"/>
    <n v="1"/>
    <n v="303"/>
    <n v="4"/>
    <x v="0"/>
    <n v="52"/>
    <n v="3"/>
    <n v="2"/>
    <x v="0"/>
    <n v="1"/>
    <x v="1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  <x v="0"/>
    <x v="3"/>
    <x v="0"/>
  </r>
  <r>
    <x v="9"/>
    <x v="1"/>
    <s v="Travel_Rarely"/>
    <n v="1396"/>
    <x v="1"/>
    <n v="5"/>
    <x v="0"/>
    <s v="Life Sciences"/>
    <n v="1"/>
    <n v="304"/>
    <n v="4"/>
    <x v="1"/>
    <n v="62"/>
    <n v="3"/>
    <n v="2"/>
    <x v="2"/>
    <n v="2"/>
    <x v="0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  <x v="1"/>
    <x v="0"/>
    <x v="1"/>
  </r>
  <r>
    <x v="3"/>
    <x v="1"/>
    <s v="Travel_Rarely"/>
    <n v="147"/>
    <x v="1"/>
    <n v="4"/>
    <x v="2"/>
    <s v="Medical"/>
    <n v="1"/>
    <n v="305"/>
    <n v="3"/>
    <x v="0"/>
    <n v="47"/>
    <n v="2"/>
    <n v="1"/>
    <x v="1"/>
    <n v="2"/>
    <x v="1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  <x v="0"/>
    <x v="2"/>
    <x v="1"/>
  </r>
  <r>
    <x v="2"/>
    <x v="1"/>
    <s v="Travel_Frequently"/>
    <n v="663"/>
    <x v="1"/>
    <n v="11"/>
    <x v="3"/>
    <s v="Other"/>
    <n v="1"/>
    <n v="306"/>
    <n v="2"/>
    <x v="1"/>
    <n v="47"/>
    <n v="3"/>
    <n v="3"/>
    <x v="7"/>
    <n v="4"/>
    <x v="2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  <x v="1"/>
    <x v="1"/>
    <x v="1"/>
  </r>
  <r>
    <x v="8"/>
    <x v="1"/>
    <s v="Travel_Rarely"/>
    <n v="119"/>
    <x v="0"/>
    <n v="3"/>
    <x v="3"/>
    <s v="Life Sciences"/>
    <n v="1"/>
    <n v="307"/>
    <n v="1"/>
    <x v="1"/>
    <n v="76"/>
    <n v="3"/>
    <n v="3"/>
    <x v="0"/>
    <n v="3"/>
    <x v="2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  <x v="1"/>
    <x v="0"/>
    <x v="0"/>
  </r>
  <r>
    <x v="12"/>
    <x v="1"/>
    <s v="Non-Travel"/>
    <n v="979"/>
    <x v="1"/>
    <n v="1"/>
    <x v="2"/>
    <s v="Medical"/>
    <n v="1"/>
    <n v="308"/>
    <n v="3"/>
    <x v="1"/>
    <n v="90"/>
    <n v="1"/>
    <n v="2"/>
    <x v="3"/>
    <n v="3"/>
    <x v="1"/>
    <n v="4345"/>
    <n v="4381"/>
    <n v="0"/>
    <s v="Y"/>
    <s v="No"/>
    <n v="12"/>
    <n v="3"/>
    <n v="4"/>
    <n v="80"/>
    <n v="1"/>
    <n v="6"/>
    <n v="2"/>
    <n v="3"/>
    <n v="5"/>
    <n v="4"/>
    <n v="1"/>
    <n v="4"/>
    <m/>
    <x v="1"/>
    <x v="2"/>
    <x v="1"/>
  </r>
  <r>
    <x v="6"/>
    <x v="1"/>
    <s v="Travel_Rarely"/>
    <n v="142"/>
    <x v="1"/>
    <n v="3"/>
    <x v="3"/>
    <s v="Life Sciences"/>
    <n v="1"/>
    <n v="309"/>
    <n v="3"/>
    <x v="1"/>
    <n v="70"/>
    <n v="2"/>
    <n v="1"/>
    <x v="1"/>
    <n v="4"/>
    <x v="1"/>
    <n v="2177"/>
    <n v="8456"/>
    <n v="3"/>
    <s v="Y"/>
    <s v="No"/>
    <n v="17"/>
    <n v="3"/>
    <n v="1"/>
    <n v="80"/>
    <n v="1"/>
    <n v="7"/>
    <n v="6"/>
    <n v="3"/>
    <n v="1"/>
    <n v="0"/>
    <n v="0"/>
    <n v="0"/>
    <m/>
    <x v="1"/>
    <x v="0"/>
    <x v="1"/>
  </r>
  <r>
    <x v="2"/>
    <x v="1"/>
    <s v="Travel_Frequently"/>
    <n v="319"/>
    <x v="0"/>
    <n v="4"/>
    <x v="2"/>
    <s v="Marketing"/>
    <n v="1"/>
    <n v="311"/>
    <n v="1"/>
    <x v="1"/>
    <n v="41"/>
    <n v="3"/>
    <n v="1"/>
    <x v="6"/>
    <n v="4"/>
    <x v="2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  <x v="1"/>
    <x v="3"/>
    <x v="0"/>
  </r>
  <r>
    <x v="11"/>
    <x v="1"/>
    <s v="Travel_Frequently"/>
    <n v="1413"/>
    <x v="0"/>
    <n v="1"/>
    <x v="1"/>
    <s v="Medical"/>
    <n v="1"/>
    <n v="312"/>
    <n v="2"/>
    <x v="0"/>
    <n v="42"/>
    <n v="3"/>
    <n v="3"/>
    <x v="0"/>
    <n v="4"/>
    <x v="1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  <x v="0"/>
    <x v="2"/>
    <x v="0"/>
  </r>
  <r>
    <x v="10"/>
    <x v="1"/>
    <s v="Travel_Frequently"/>
    <n v="944"/>
    <x v="0"/>
    <n v="1"/>
    <x v="3"/>
    <s v="Marketing"/>
    <n v="1"/>
    <n v="314"/>
    <n v="3"/>
    <x v="0"/>
    <n v="92"/>
    <n v="3"/>
    <n v="3"/>
    <x v="0"/>
    <n v="3"/>
    <x v="0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  <x v="0"/>
    <x v="3"/>
    <x v="0"/>
  </r>
  <r>
    <x v="11"/>
    <x v="0"/>
    <s v="Travel_Rarely"/>
    <n v="896"/>
    <x v="1"/>
    <n v="18"/>
    <x v="1"/>
    <s v="Medical"/>
    <n v="1"/>
    <n v="315"/>
    <n v="3"/>
    <x v="1"/>
    <n v="86"/>
    <n v="2"/>
    <n v="1"/>
    <x v="1"/>
    <n v="4"/>
    <x v="0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  <x v="1"/>
    <x v="2"/>
    <x v="1"/>
  </r>
  <r>
    <x v="39"/>
    <x v="1"/>
    <s v="Travel_Rarely"/>
    <n v="1323"/>
    <x v="1"/>
    <n v="2"/>
    <x v="3"/>
    <s v="Life Sciences"/>
    <n v="1"/>
    <n v="316"/>
    <n v="3"/>
    <x v="0"/>
    <n v="89"/>
    <n v="2"/>
    <n v="1"/>
    <x v="2"/>
    <n v="4"/>
    <x v="0"/>
    <n v="3212"/>
    <n v="3300"/>
    <n v="7"/>
    <s v="Y"/>
    <s v="No"/>
    <n v="15"/>
    <n v="3"/>
    <n v="2"/>
    <n v="80"/>
    <n v="0"/>
    <n v="6"/>
    <n v="3"/>
    <n v="2"/>
    <n v="2"/>
    <n v="2"/>
    <n v="2"/>
    <n v="2"/>
    <m/>
    <x v="0"/>
    <x v="0"/>
    <x v="1"/>
  </r>
  <r>
    <x v="19"/>
    <x v="1"/>
    <s v="Travel_Rarely"/>
    <n v="532"/>
    <x v="1"/>
    <n v="4"/>
    <x v="0"/>
    <s v="Technical Degree"/>
    <n v="1"/>
    <n v="319"/>
    <n v="3"/>
    <x v="1"/>
    <n v="58"/>
    <n v="3"/>
    <n v="5"/>
    <x v="5"/>
    <n v="4"/>
    <x v="1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  <x v="1"/>
    <x v="4"/>
    <x v="1"/>
  </r>
  <r>
    <x v="6"/>
    <x v="1"/>
    <s v="Travel_Rarely"/>
    <n v="818"/>
    <x v="2"/>
    <n v="6"/>
    <x v="0"/>
    <s v="Medical"/>
    <n v="1"/>
    <n v="321"/>
    <n v="2"/>
    <x v="1"/>
    <n v="52"/>
    <n v="3"/>
    <n v="1"/>
    <x v="8"/>
    <n v="3"/>
    <x v="1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  <x v="1"/>
    <x v="2"/>
    <x v="2"/>
  </r>
  <r>
    <x v="24"/>
    <x v="1"/>
    <s v="Travel_Rarely"/>
    <n v="854"/>
    <x v="0"/>
    <n v="1"/>
    <x v="2"/>
    <s v="Medical"/>
    <n v="1"/>
    <n v="323"/>
    <n v="4"/>
    <x v="0"/>
    <n v="68"/>
    <n v="3"/>
    <n v="5"/>
    <x v="5"/>
    <n v="4"/>
    <x v="2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  <x v="0"/>
    <x v="2"/>
    <x v="0"/>
  </r>
  <r>
    <x v="3"/>
    <x v="0"/>
    <s v="Travel_Rarely"/>
    <n v="813"/>
    <x v="1"/>
    <n v="14"/>
    <x v="3"/>
    <s v="Medical"/>
    <n v="1"/>
    <n v="325"/>
    <n v="3"/>
    <x v="1"/>
    <n v="58"/>
    <n v="3"/>
    <n v="1"/>
    <x v="2"/>
    <n v="4"/>
    <x v="1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  <x v="1"/>
    <x v="2"/>
    <x v="1"/>
  </r>
  <r>
    <x v="23"/>
    <x v="1"/>
    <s v="Travel_Rarely"/>
    <n v="1034"/>
    <x v="0"/>
    <n v="16"/>
    <x v="3"/>
    <s v="Marketing"/>
    <n v="1"/>
    <n v="327"/>
    <n v="4"/>
    <x v="0"/>
    <n v="80"/>
    <n v="3"/>
    <n v="4"/>
    <x v="5"/>
    <n v="4"/>
    <x v="1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  <x v="0"/>
    <x v="3"/>
    <x v="0"/>
  </r>
  <r>
    <x v="3"/>
    <x v="0"/>
    <s v="Travel_Rarely"/>
    <n v="465"/>
    <x v="1"/>
    <n v="2"/>
    <x v="0"/>
    <s v="Life Sciences"/>
    <n v="1"/>
    <n v="328"/>
    <n v="1"/>
    <x v="0"/>
    <n v="39"/>
    <n v="3"/>
    <n v="1"/>
    <x v="2"/>
    <n v="1"/>
    <x v="1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  <x v="0"/>
    <x v="0"/>
    <x v="1"/>
  </r>
  <r>
    <x v="39"/>
    <x v="1"/>
    <s v="Non-Travel"/>
    <n v="771"/>
    <x v="0"/>
    <n v="2"/>
    <x v="2"/>
    <s v="Life Sciences"/>
    <n v="1"/>
    <n v="329"/>
    <n v="1"/>
    <x v="1"/>
    <n v="79"/>
    <n v="2"/>
    <n v="5"/>
    <x v="5"/>
    <n v="3"/>
    <x v="0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  <x v="1"/>
    <x v="0"/>
    <x v="0"/>
  </r>
  <r>
    <x v="5"/>
    <x v="1"/>
    <s v="Travel_Rarely"/>
    <n v="1401"/>
    <x v="0"/>
    <n v="4"/>
    <x v="0"/>
    <s v="Life Sciences"/>
    <n v="1"/>
    <n v="330"/>
    <n v="3"/>
    <x v="0"/>
    <n v="56"/>
    <n v="3"/>
    <n v="1"/>
    <x v="6"/>
    <n v="2"/>
    <x v="1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  <x v="0"/>
    <x v="0"/>
    <x v="0"/>
  </r>
  <r>
    <x v="5"/>
    <x v="0"/>
    <s v="Travel_Rarely"/>
    <n v="515"/>
    <x v="1"/>
    <n v="1"/>
    <x v="3"/>
    <s v="Life Sciences"/>
    <n v="1"/>
    <n v="331"/>
    <n v="4"/>
    <x v="1"/>
    <n v="62"/>
    <n v="2"/>
    <n v="1"/>
    <x v="2"/>
    <n v="3"/>
    <x v="0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  <x v="1"/>
    <x v="0"/>
    <x v="1"/>
  </r>
  <r>
    <x v="22"/>
    <x v="1"/>
    <s v="Travel_Rarely"/>
    <n v="1431"/>
    <x v="1"/>
    <n v="1"/>
    <x v="2"/>
    <s v="Medical"/>
    <n v="1"/>
    <n v="332"/>
    <n v="3"/>
    <x v="0"/>
    <n v="96"/>
    <n v="3"/>
    <n v="1"/>
    <x v="2"/>
    <n v="3"/>
    <x v="2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  <x v="0"/>
    <x v="2"/>
    <x v="1"/>
  </r>
  <r>
    <x v="5"/>
    <x v="1"/>
    <s v="Non-Travel"/>
    <n v="976"/>
    <x v="0"/>
    <n v="26"/>
    <x v="2"/>
    <s v="Marketing"/>
    <n v="1"/>
    <n v="333"/>
    <n v="3"/>
    <x v="1"/>
    <n v="100"/>
    <n v="3"/>
    <n v="2"/>
    <x v="0"/>
    <n v="4"/>
    <x v="1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  <x v="1"/>
    <x v="3"/>
    <x v="0"/>
  </r>
  <r>
    <x v="0"/>
    <x v="1"/>
    <s v="Travel_Rarely"/>
    <n v="1411"/>
    <x v="1"/>
    <n v="19"/>
    <x v="0"/>
    <s v="Life Sciences"/>
    <n v="1"/>
    <n v="334"/>
    <n v="3"/>
    <x v="1"/>
    <n v="36"/>
    <n v="3"/>
    <n v="2"/>
    <x v="1"/>
    <n v="1"/>
    <x v="2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  <x v="1"/>
    <x v="0"/>
    <x v="1"/>
  </r>
  <r>
    <x v="32"/>
    <x v="1"/>
    <s v="Travel_Rarely"/>
    <n v="1300"/>
    <x v="1"/>
    <n v="24"/>
    <x v="0"/>
    <s v="Technical Degree"/>
    <n v="1"/>
    <n v="335"/>
    <n v="1"/>
    <x v="1"/>
    <n v="62"/>
    <n v="3"/>
    <n v="2"/>
    <x v="1"/>
    <n v="4"/>
    <x v="2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  <x v="1"/>
    <x v="4"/>
    <x v="1"/>
  </r>
  <r>
    <x v="28"/>
    <x v="1"/>
    <s v="Travel_Rarely"/>
    <n v="252"/>
    <x v="1"/>
    <n v="1"/>
    <x v="3"/>
    <s v="Other"/>
    <n v="1"/>
    <n v="336"/>
    <n v="3"/>
    <x v="1"/>
    <n v="70"/>
    <n v="4"/>
    <n v="5"/>
    <x v="5"/>
    <n v="4"/>
    <x v="1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  <x v="1"/>
    <x v="1"/>
    <x v="1"/>
  </r>
  <r>
    <x v="12"/>
    <x v="1"/>
    <s v="Travel_Frequently"/>
    <n v="1327"/>
    <x v="1"/>
    <n v="3"/>
    <x v="2"/>
    <s v="Medical"/>
    <n v="1"/>
    <n v="337"/>
    <n v="2"/>
    <x v="1"/>
    <n v="73"/>
    <n v="3"/>
    <n v="3"/>
    <x v="7"/>
    <n v="3"/>
    <x v="2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  <x v="1"/>
    <x v="2"/>
    <x v="1"/>
  </r>
  <r>
    <x v="3"/>
    <x v="1"/>
    <s v="Travel_Rarely"/>
    <n v="832"/>
    <x v="1"/>
    <n v="5"/>
    <x v="2"/>
    <s v="Life Sciences"/>
    <n v="1"/>
    <n v="338"/>
    <n v="3"/>
    <x v="0"/>
    <n v="63"/>
    <n v="2"/>
    <n v="1"/>
    <x v="1"/>
    <n v="4"/>
    <x v="1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  <x v="0"/>
    <x v="0"/>
    <x v="1"/>
  </r>
  <r>
    <x v="13"/>
    <x v="1"/>
    <s v="Travel_Rarely"/>
    <n v="470"/>
    <x v="1"/>
    <n v="2"/>
    <x v="2"/>
    <s v="Life Sciences"/>
    <n v="1"/>
    <n v="339"/>
    <n v="4"/>
    <x v="1"/>
    <n v="84"/>
    <n v="2"/>
    <n v="2"/>
    <x v="3"/>
    <n v="1"/>
    <x v="1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  <x v="1"/>
    <x v="0"/>
    <x v="1"/>
  </r>
  <r>
    <x v="2"/>
    <x v="1"/>
    <s v="Travel_Rarely"/>
    <n v="1017"/>
    <x v="1"/>
    <n v="1"/>
    <x v="0"/>
    <s v="Medical"/>
    <n v="1"/>
    <n v="340"/>
    <n v="3"/>
    <x v="0"/>
    <n v="83"/>
    <n v="2"/>
    <n v="1"/>
    <x v="1"/>
    <n v="1"/>
    <x v="1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  <x v="0"/>
    <x v="2"/>
    <x v="1"/>
  </r>
  <r>
    <x v="28"/>
    <x v="1"/>
    <s v="Travel_Frequently"/>
    <n v="1199"/>
    <x v="1"/>
    <n v="7"/>
    <x v="2"/>
    <s v="Life Sciences"/>
    <n v="1"/>
    <n v="341"/>
    <n v="1"/>
    <x v="1"/>
    <n v="77"/>
    <n v="4"/>
    <n v="2"/>
    <x v="3"/>
    <n v="3"/>
    <x v="1"/>
    <n v="6434"/>
    <n v="5118"/>
    <n v="4"/>
    <s v="Y"/>
    <s v="No"/>
    <n v="17"/>
    <n v="3"/>
    <n v="4"/>
    <n v="80"/>
    <n v="1"/>
    <n v="9"/>
    <n v="1"/>
    <n v="3"/>
    <n v="3"/>
    <n v="2"/>
    <n v="0"/>
    <n v="2"/>
    <m/>
    <x v="1"/>
    <x v="0"/>
    <x v="1"/>
  </r>
  <r>
    <x v="2"/>
    <x v="0"/>
    <s v="Travel_Frequently"/>
    <n v="504"/>
    <x v="1"/>
    <n v="10"/>
    <x v="3"/>
    <s v="Medical"/>
    <n v="1"/>
    <n v="342"/>
    <n v="1"/>
    <x v="1"/>
    <n v="61"/>
    <n v="3"/>
    <n v="3"/>
    <x v="3"/>
    <n v="3"/>
    <x v="2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  <x v="1"/>
    <x v="2"/>
    <x v="1"/>
  </r>
  <r>
    <x v="22"/>
    <x v="1"/>
    <s v="Travel_Frequently"/>
    <n v="505"/>
    <x v="1"/>
    <n v="2"/>
    <x v="2"/>
    <s v="Technical Degree"/>
    <n v="1"/>
    <n v="343"/>
    <n v="3"/>
    <x v="0"/>
    <n v="64"/>
    <n v="3"/>
    <n v="3"/>
    <x v="4"/>
    <n v="3"/>
    <x v="0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  <x v="0"/>
    <x v="4"/>
    <x v="1"/>
  </r>
  <r>
    <x v="11"/>
    <x v="1"/>
    <s v="Travel_Rarely"/>
    <n v="665"/>
    <x v="1"/>
    <n v="15"/>
    <x v="3"/>
    <s v="Life Sciences"/>
    <n v="1"/>
    <n v="346"/>
    <n v="3"/>
    <x v="1"/>
    <n v="60"/>
    <n v="3"/>
    <n v="1"/>
    <x v="1"/>
    <n v="4"/>
    <x v="0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  <x v="1"/>
    <x v="0"/>
    <x v="1"/>
  </r>
  <r>
    <x v="19"/>
    <x v="1"/>
    <s v="Travel_Rarely"/>
    <n v="916"/>
    <x v="1"/>
    <n v="17"/>
    <x v="0"/>
    <s v="Life Sciences"/>
    <n v="1"/>
    <n v="347"/>
    <n v="4"/>
    <x v="0"/>
    <n v="82"/>
    <n v="4"/>
    <n v="2"/>
    <x v="1"/>
    <n v="1"/>
    <x v="0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  <x v="0"/>
    <x v="0"/>
    <x v="1"/>
  </r>
  <r>
    <x v="11"/>
    <x v="1"/>
    <s v="Travel_Rarely"/>
    <n v="1247"/>
    <x v="0"/>
    <n v="20"/>
    <x v="0"/>
    <s v="Marketing"/>
    <n v="1"/>
    <n v="349"/>
    <n v="4"/>
    <x v="1"/>
    <n v="45"/>
    <n v="3"/>
    <n v="2"/>
    <x v="0"/>
    <n v="4"/>
    <x v="2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  <x v="1"/>
    <x v="3"/>
    <x v="0"/>
  </r>
  <r>
    <x v="36"/>
    <x v="1"/>
    <s v="Travel_Rarely"/>
    <n v="685"/>
    <x v="1"/>
    <n v="1"/>
    <x v="3"/>
    <s v="Life Sciences"/>
    <n v="1"/>
    <n v="350"/>
    <n v="1"/>
    <x v="0"/>
    <n v="62"/>
    <n v="3"/>
    <n v="2"/>
    <x v="3"/>
    <n v="3"/>
    <x v="1"/>
    <n v="4898"/>
    <n v="7505"/>
    <n v="0"/>
    <s v="Y"/>
    <s v="No"/>
    <n v="12"/>
    <n v="3"/>
    <n v="4"/>
    <n v="80"/>
    <n v="2"/>
    <n v="5"/>
    <n v="3"/>
    <n v="3"/>
    <n v="4"/>
    <n v="2"/>
    <n v="1"/>
    <n v="2"/>
    <m/>
    <x v="0"/>
    <x v="0"/>
    <x v="1"/>
  </r>
  <r>
    <x v="19"/>
    <x v="1"/>
    <s v="Travel_Rarely"/>
    <n v="269"/>
    <x v="1"/>
    <n v="2"/>
    <x v="3"/>
    <s v="Medical"/>
    <n v="1"/>
    <n v="351"/>
    <n v="4"/>
    <x v="0"/>
    <n v="56"/>
    <n v="2"/>
    <n v="1"/>
    <x v="2"/>
    <n v="1"/>
    <x v="2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  <x v="0"/>
    <x v="2"/>
    <x v="1"/>
  </r>
  <r>
    <x v="32"/>
    <x v="1"/>
    <s v="Travel_Rarely"/>
    <n v="1416"/>
    <x v="1"/>
    <n v="2"/>
    <x v="0"/>
    <s v="Medical"/>
    <n v="1"/>
    <n v="352"/>
    <n v="1"/>
    <x v="1"/>
    <n v="49"/>
    <n v="3"/>
    <n v="5"/>
    <x v="7"/>
    <n v="3"/>
    <x v="2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  <x v="1"/>
    <x v="2"/>
    <x v="1"/>
  </r>
  <r>
    <x v="31"/>
    <x v="1"/>
    <s v="Travel_Rarely"/>
    <n v="833"/>
    <x v="1"/>
    <n v="1"/>
    <x v="3"/>
    <s v="Life Sciences"/>
    <n v="1"/>
    <n v="353"/>
    <n v="3"/>
    <x v="1"/>
    <n v="96"/>
    <n v="3"/>
    <n v="1"/>
    <x v="1"/>
    <n v="4"/>
    <x v="1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  <x v="1"/>
    <x v="0"/>
    <x v="1"/>
  </r>
  <r>
    <x v="12"/>
    <x v="0"/>
    <s v="Travel_Frequently"/>
    <n v="307"/>
    <x v="1"/>
    <n v="29"/>
    <x v="0"/>
    <s v="Medical"/>
    <n v="1"/>
    <n v="355"/>
    <n v="3"/>
    <x v="1"/>
    <n v="71"/>
    <n v="2"/>
    <n v="1"/>
    <x v="2"/>
    <n v="2"/>
    <x v="0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  <x v="1"/>
    <x v="2"/>
    <x v="1"/>
  </r>
  <r>
    <x v="5"/>
    <x v="1"/>
    <s v="Travel_Frequently"/>
    <n v="1311"/>
    <x v="1"/>
    <n v="7"/>
    <x v="3"/>
    <s v="Life Sciences"/>
    <n v="1"/>
    <n v="359"/>
    <n v="2"/>
    <x v="1"/>
    <n v="100"/>
    <n v="4"/>
    <n v="1"/>
    <x v="2"/>
    <n v="2"/>
    <x v="1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  <x v="1"/>
    <x v="0"/>
    <x v="1"/>
  </r>
  <r>
    <x v="8"/>
    <x v="1"/>
    <s v="Non-Travel"/>
    <n v="1327"/>
    <x v="0"/>
    <n v="2"/>
    <x v="0"/>
    <s v="Life Sciences"/>
    <n v="1"/>
    <n v="361"/>
    <n v="4"/>
    <x v="1"/>
    <n v="39"/>
    <n v="2"/>
    <n v="2"/>
    <x v="0"/>
    <n v="4"/>
    <x v="1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  <x v="1"/>
    <x v="0"/>
    <x v="0"/>
  </r>
  <r>
    <x v="5"/>
    <x v="1"/>
    <s v="Travel_Rarely"/>
    <n v="128"/>
    <x v="1"/>
    <n v="2"/>
    <x v="1"/>
    <s v="Technical Degree"/>
    <n v="1"/>
    <n v="362"/>
    <n v="4"/>
    <x v="1"/>
    <n v="84"/>
    <n v="2"/>
    <n v="2"/>
    <x v="2"/>
    <n v="1"/>
    <x v="0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  <x v="1"/>
    <x v="4"/>
    <x v="1"/>
  </r>
  <r>
    <x v="21"/>
    <x v="1"/>
    <s v="Travel_Rarely"/>
    <n v="488"/>
    <x v="0"/>
    <n v="2"/>
    <x v="3"/>
    <s v="Technical Degree"/>
    <n v="1"/>
    <n v="363"/>
    <n v="3"/>
    <x v="0"/>
    <n v="75"/>
    <n v="1"/>
    <n v="4"/>
    <x v="5"/>
    <n v="2"/>
    <x v="1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  <x v="0"/>
    <x v="4"/>
    <x v="0"/>
  </r>
  <r>
    <x v="14"/>
    <x v="0"/>
    <s v="Travel_Rarely"/>
    <n v="529"/>
    <x v="1"/>
    <n v="2"/>
    <x v="2"/>
    <s v="Life Sciences"/>
    <n v="1"/>
    <n v="364"/>
    <n v="1"/>
    <x v="1"/>
    <n v="79"/>
    <n v="3"/>
    <n v="1"/>
    <x v="2"/>
    <n v="3"/>
    <x v="0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  <x v="1"/>
    <x v="0"/>
    <x v="1"/>
  </r>
  <r>
    <x v="11"/>
    <x v="1"/>
    <s v="Travel_Rarely"/>
    <n v="1210"/>
    <x v="0"/>
    <n v="2"/>
    <x v="3"/>
    <s v="Medical"/>
    <n v="1"/>
    <n v="366"/>
    <n v="1"/>
    <x v="1"/>
    <n v="78"/>
    <n v="2"/>
    <n v="2"/>
    <x v="0"/>
    <n v="2"/>
    <x v="1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  <x v="1"/>
    <x v="2"/>
    <x v="0"/>
  </r>
  <r>
    <x v="12"/>
    <x v="1"/>
    <s v="Travel_Rarely"/>
    <n v="1463"/>
    <x v="1"/>
    <n v="23"/>
    <x v="3"/>
    <s v="Medical"/>
    <n v="1"/>
    <n v="367"/>
    <n v="2"/>
    <x v="1"/>
    <n v="64"/>
    <n v="2"/>
    <n v="2"/>
    <x v="4"/>
    <n v="4"/>
    <x v="1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  <x v="1"/>
    <x v="2"/>
    <x v="1"/>
  </r>
  <r>
    <x v="36"/>
    <x v="1"/>
    <s v="Non-Travel"/>
    <n v="675"/>
    <x v="1"/>
    <n v="5"/>
    <x v="0"/>
    <s v="Life Sciences"/>
    <n v="1"/>
    <n v="369"/>
    <n v="2"/>
    <x v="1"/>
    <n v="85"/>
    <n v="4"/>
    <n v="2"/>
    <x v="4"/>
    <n v="1"/>
    <x v="2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  <x v="1"/>
    <x v="0"/>
    <x v="1"/>
  </r>
  <r>
    <x v="28"/>
    <x v="1"/>
    <s v="Travel_Rarely"/>
    <n v="1385"/>
    <x v="1"/>
    <n v="20"/>
    <x v="0"/>
    <s v="Medical"/>
    <n v="1"/>
    <n v="372"/>
    <n v="3"/>
    <x v="1"/>
    <n v="79"/>
    <n v="3"/>
    <n v="4"/>
    <x v="4"/>
    <n v="4"/>
    <x v="1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  <x v="1"/>
    <x v="2"/>
    <x v="1"/>
  </r>
  <r>
    <x v="9"/>
    <x v="1"/>
    <s v="Travel_Rarely"/>
    <n v="1403"/>
    <x v="1"/>
    <n v="6"/>
    <x v="3"/>
    <s v="Life Sciences"/>
    <n v="1"/>
    <n v="373"/>
    <n v="4"/>
    <x v="1"/>
    <n v="47"/>
    <n v="3"/>
    <n v="1"/>
    <x v="2"/>
    <n v="4"/>
    <x v="1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  <x v="1"/>
    <x v="0"/>
    <x v="1"/>
  </r>
  <r>
    <x v="27"/>
    <x v="1"/>
    <s v="Travel_Rarely"/>
    <n v="452"/>
    <x v="1"/>
    <n v="1"/>
    <x v="3"/>
    <s v="Medical"/>
    <n v="1"/>
    <n v="374"/>
    <n v="4"/>
    <x v="1"/>
    <n v="81"/>
    <n v="3"/>
    <n v="5"/>
    <x v="5"/>
    <n v="1"/>
    <x v="0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  <x v="1"/>
    <x v="2"/>
    <x v="1"/>
  </r>
  <r>
    <x v="40"/>
    <x v="0"/>
    <s v="Non-Travel"/>
    <n v="666"/>
    <x v="1"/>
    <n v="29"/>
    <x v="2"/>
    <s v="Life Sciences"/>
    <n v="1"/>
    <n v="376"/>
    <n v="1"/>
    <x v="1"/>
    <n v="88"/>
    <n v="3"/>
    <n v="3"/>
    <x v="5"/>
    <n v="2"/>
    <x v="1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  <x v="1"/>
    <x v="0"/>
    <x v="1"/>
  </r>
  <r>
    <x v="14"/>
    <x v="1"/>
    <s v="Travel_Rarely"/>
    <n v="1158"/>
    <x v="1"/>
    <n v="9"/>
    <x v="3"/>
    <s v="Medical"/>
    <n v="1"/>
    <n v="377"/>
    <n v="4"/>
    <x v="1"/>
    <n v="94"/>
    <n v="3"/>
    <n v="1"/>
    <x v="1"/>
    <n v="4"/>
    <x v="1"/>
    <n v="2070"/>
    <n v="2613"/>
    <n v="1"/>
    <s v="Y"/>
    <s v="No"/>
    <n v="23"/>
    <n v="4"/>
    <n v="4"/>
    <n v="80"/>
    <n v="1"/>
    <n v="5"/>
    <n v="3"/>
    <n v="2"/>
    <n v="5"/>
    <n v="2"/>
    <n v="0"/>
    <n v="4"/>
    <m/>
    <x v="1"/>
    <x v="2"/>
    <x v="1"/>
  </r>
  <r>
    <x v="2"/>
    <x v="1"/>
    <s v="Travel_Rarely"/>
    <n v="228"/>
    <x v="0"/>
    <n v="6"/>
    <x v="2"/>
    <s v="Medical"/>
    <n v="1"/>
    <n v="378"/>
    <n v="3"/>
    <x v="1"/>
    <n v="98"/>
    <n v="3"/>
    <n v="2"/>
    <x v="0"/>
    <n v="4"/>
    <x v="1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  <x v="1"/>
    <x v="2"/>
    <x v="0"/>
  </r>
  <r>
    <x v="18"/>
    <x v="1"/>
    <s v="Travel_Rarely"/>
    <n v="996"/>
    <x v="1"/>
    <n v="3"/>
    <x v="0"/>
    <s v="Medical"/>
    <n v="1"/>
    <n v="379"/>
    <n v="4"/>
    <x v="1"/>
    <n v="100"/>
    <n v="2"/>
    <n v="1"/>
    <x v="1"/>
    <n v="3"/>
    <x v="0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  <x v="1"/>
    <x v="2"/>
    <x v="1"/>
  </r>
  <r>
    <x v="2"/>
    <x v="1"/>
    <s v="Non-Travel"/>
    <n v="728"/>
    <x v="1"/>
    <n v="1"/>
    <x v="2"/>
    <s v="Medical"/>
    <n v="1"/>
    <n v="380"/>
    <n v="1"/>
    <x v="0"/>
    <n v="80"/>
    <n v="3"/>
    <n v="3"/>
    <x v="7"/>
    <n v="4"/>
    <x v="2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  <x v="0"/>
    <x v="2"/>
    <x v="1"/>
  </r>
  <r>
    <x v="10"/>
    <x v="1"/>
    <s v="Travel_Rarely"/>
    <n v="1315"/>
    <x v="1"/>
    <n v="22"/>
    <x v="3"/>
    <s v="Life Sciences"/>
    <n v="1"/>
    <n v="381"/>
    <n v="2"/>
    <x v="0"/>
    <n v="71"/>
    <n v="4"/>
    <n v="3"/>
    <x v="5"/>
    <n v="2"/>
    <x v="2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  <x v="0"/>
    <x v="0"/>
    <x v="1"/>
  </r>
  <r>
    <x v="8"/>
    <x v="1"/>
    <s v="Travel_Rarely"/>
    <n v="322"/>
    <x v="0"/>
    <n v="7"/>
    <x v="0"/>
    <s v="Medical"/>
    <n v="1"/>
    <n v="382"/>
    <n v="1"/>
    <x v="0"/>
    <n v="44"/>
    <n v="4"/>
    <n v="2"/>
    <x v="0"/>
    <n v="1"/>
    <x v="2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  <x v="0"/>
    <x v="2"/>
    <x v="0"/>
  </r>
  <r>
    <x v="25"/>
    <x v="1"/>
    <s v="Travel_Frequently"/>
    <n v="1479"/>
    <x v="1"/>
    <n v="1"/>
    <x v="3"/>
    <s v="Life Sciences"/>
    <n v="1"/>
    <n v="384"/>
    <n v="3"/>
    <x v="0"/>
    <n v="84"/>
    <n v="3"/>
    <n v="2"/>
    <x v="3"/>
    <n v="2"/>
    <x v="2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  <x v="0"/>
    <x v="0"/>
    <x v="1"/>
  </r>
  <r>
    <x v="24"/>
    <x v="1"/>
    <s v="Travel_Rarely"/>
    <n v="797"/>
    <x v="1"/>
    <n v="4"/>
    <x v="1"/>
    <s v="Life Sciences"/>
    <n v="1"/>
    <n v="385"/>
    <n v="1"/>
    <x v="1"/>
    <n v="96"/>
    <n v="3"/>
    <n v="5"/>
    <x v="7"/>
    <n v="2"/>
    <x v="2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  <x v="1"/>
    <x v="0"/>
    <x v="1"/>
  </r>
  <r>
    <x v="16"/>
    <x v="1"/>
    <s v="Travel_Rarely"/>
    <n v="1070"/>
    <x v="1"/>
    <n v="3"/>
    <x v="2"/>
    <s v="Medical"/>
    <n v="1"/>
    <n v="386"/>
    <n v="3"/>
    <x v="1"/>
    <n v="45"/>
    <n v="3"/>
    <n v="4"/>
    <x v="7"/>
    <n v="3"/>
    <x v="1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  <x v="1"/>
    <x v="2"/>
    <x v="1"/>
  </r>
  <r>
    <x v="19"/>
    <x v="1"/>
    <s v="Travel_Rarely"/>
    <n v="635"/>
    <x v="0"/>
    <n v="1"/>
    <x v="1"/>
    <s v="Life Sciences"/>
    <n v="1"/>
    <n v="387"/>
    <n v="2"/>
    <x v="1"/>
    <n v="99"/>
    <n v="3"/>
    <n v="2"/>
    <x v="0"/>
    <n v="3"/>
    <x v="1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  <x v="1"/>
    <x v="0"/>
    <x v="0"/>
  </r>
  <r>
    <x v="11"/>
    <x v="1"/>
    <s v="Travel_Frequently"/>
    <n v="442"/>
    <x v="0"/>
    <n v="2"/>
    <x v="0"/>
    <s v="Life Sciences"/>
    <n v="1"/>
    <n v="388"/>
    <n v="2"/>
    <x v="1"/>
    <n v="44"/>
    <n v="3"/>
    <n v="2"/>
    <x v="0"/>
    <n v="4"/>
    <x v="0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  <x v="1"/>
    <x v="0"/>
    <x v="0"/>
  </r>
  <r>
    <x v="27"/>
    <x v="1"/>
    <s v="Travel_Rarely"/>
    <n v="147"/>
    <x v="1"/>
    <n v="20"/>
    <x v="0"/>
    <s v="Technical Degree"/>
    <n v="1"/>
    <n v="389"/>
    <n v="2"/>
    <x v="1"/>
    <n v="37"/>
    <n v="3"/>
    <n v="2"/>
    <x v="2"/>
    <n v="4"/>
    <x v="1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  <x v="1"/>
    <x v="4"/>
    <x v="1"/>
  </r>
  <r>
    <x v="25"/>
    <x v="1"/>
    <s v="Travel_Frequently"/>
    <n v="496"/>
    <x v="1"/>
    <n v="11"/>
    <x v="0"/>
    <s v="Medical"/>
    <n v="1"/>
    <n v="390"/>
    <n v="1"/>
    <x v="1"/>
    <n v="60"/>
    <n v="3"/>
    <n v="2"/>
    <x v="4"/>
    <n v="1"/>
    <x v="1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  <x v="1"/>
    <x v="2"/>
    <x v="1"/>
  </r>
  <r>
    <x v="2"/>
    <x v="1"/>
    <s v="Travel_Rarely"/>
    <n v="1372"/>
    <x v="1"/>
    <n v="1"/>
    <x v="3"/>
    <s v="Life Sciences"/>
    <n v="1"/>
    <n v="391"/>
    <n v="4"/>
    <x v="0"/>
    <n v="42"/>
    <n v="3"/>
    <n v="1"/>
    <x v="1"/>
    <n v="4"/>
    <x v="0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  <x v="0"/>
    <x v="0"/>
    <x v="1"/>
  </r>
  <r>
    <x v="20"/>
    <x v="0"/>
    <s v="Travel_Frequently"/>
    <n v="920"/>
    <x v="1"/>
    <n v="24"/>
    <x v="3"/>
    <s v="Life Sciences"/>
    <n v="1"/>
    <n v="392"/>
    <n v="4"/>
    <x v="1"/>
    <n v="43"/>
    <n v="3"/>
    <n v="1"/>
    <x v="2"/>
    <n v="3"/>
    <x v="2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  <x v="1"/>
    <x v="0"/>
    <x v="1"/>
  </r>
  <r>
    <x v="8"/>
    <x v="1"/>
    <s v="Travel_Rarely"/>
    <n v="688"/>
    <x v="1"/>
    <n v="23"/>
    <x v="2"/>
    <s v="Life Sciences"/>
    <n v="1"/>
    <n v="393"/>
    <n v="4"/>
    <x v="1"/>
    <n v="82"/>
    <n v="3"/>
    <n v="2"/>
    <x v="4"/>
    <n v="4"/>
    <x v="2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  <x v="1"/>
    <x v="0"/>
    <x v="1"/>
  </r>
  <r>
    <x v="25"/>
    <x v="0"/>
    <s v="Travel_Rarely"/>
    <n v="1449"/>
    <x v="1"/>
    <n v="16"/>
    <x v="2"/>
    <s v="Medical"/>
    <n v="1"/>
    <n v="394"/>
    <n v="1"/>
    <x v="1"/>
    <n v="45"/>
    <n v="3"/>
    <n v="1"/>
    <x v="2"/>
    <n v="2"/>
    <x v="2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  <x v="1"/>
    <x v="2"/>
    <x v="1"/>
  </r>
  <r>
    <x v="14"/>
    <x v="1"/>
    <s v="Travel_Rarely"/>
    <n v="1117"/>
    <x v="1"/>
    <n v="8"/>
    <x v="0"/>
    <s v="Life Sciences"/>
    <n v="1"/>
    <n v="395"/>
    <n v="4"/>
    <x v="0"/>
    <n v="66"/>
    <n v="3"/>
    <n v="1"/>
    <x v="1"/>
    <n v="4"/>
    <x v="0"/>
    <n v="3310"/>
    <n v="4488"/>
    <n v="1"/>
    <s v="Y"/>
    <s v="No"/>
    <n v="21"/>
    <n v="4"/>
    <n v="4"/>
    <n v="80"/>
    <n v="0"/>
    <n v="5"/>
    <n v="3"/>
    <n v="3"/>
    <n v="5"/>
    <n v="3"/>
    <n v="0"/>
    <n v="2"/>
    <m/>
    <x v="0"/>
    <x v="0"/>
    <x v="1"/>
  </r>
  <r>
    <x v="1"/>
    <x v="1"/>
    <s v="Travel_Frequently"/>
    <n v="636"/>
    <x v="1"/>
    <n v="10"/>
    <x v="2"/>
    <s v="Life Sciences"/>
    <n v="1"/>
    <n v="396"/>
    <n v="3"/>
    <x v="0"/>
    <n v="35"/>
    <n v="3"/>
    <n v="5"/>
    <x v="7"/>
    <n v="1"/>
    <x v="0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  <x v="0"/>
    <x v="0"/>
    <x v="1"/>
  </r>
  <r>
    <x v="9"/>
    <x v="1"/>
    <s v="Travel_Rarely"/>
    <n v="506"/>
    <x v="1"/>
    <n v="3"/>
    <x v="3"/>
    <s v="Technical Degree"/>
    <n v="1"/>
    <n v="397"/>
    <n v="3"/>
    <x v="1"/>
    <n v="30"/>
    <n v="3"/>
    <n v="2"/>
    <x v="1"/>
    <n v="2"/>
    <x v="0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  <x v="1"/>
    <x v="4"/>
    <x v="1"/>
  </r>
  <r>
    <x v="12"/>
    <x v="1"/>
    <s v="Travel_Frequently"/>
    <n v="444"/>
    <x v="0"/>
    <n v="5"/>
    <x v="3"/>
    <s v="Marketing"/>
    <n v="1"/>
    <n v="399"/>
    <n v="4"/>
    <x v="0"/>
    <n v="84"/>
    <n v="3"/>
    <n v="1"/>
    <x v="6"/>
    <n v="2"/>
    <x v="2"/>
    <n v="2789"/>
    <n v="3909"/>
    <n v="1"/>
    <s v="Y"/>
    <s v="No"/>
    <n v="11"/>
    <n v="3"/>
    <n v="3"/>
    <n v="80"/>
    <n v="1"/>
    <n v="2"/>
    <n v="5"/>
    <n v="2"/>
    <n v="2"/>
    <n v="2"/>
    <n v="2"/>
    <n v="2"/>
    <m/>
    <x v="0"/>
    <x v="3"/>
    <x v="0"/>
  </r>
  <r>
    <x v="25"/>
    <x v="0"/>
    <s v="Travel_Rarely"/>
    <n v="950"/>
    <x v="0"/>
    <n v="4"/>
    <x v="2"/>
    <s v="Marketing"/>
    <n v="1"/>
    <n v="401"/>
    <n v="4"/>
    <x v="1"/>
    <n v="48"/>
    <n v="2"/>
    <n v="2"/>
    <x v="0"/>
    <n v="4"/>
    <x v="0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  <x v="1"/>
    <x v="3"/>
    <x v="0"/>
  </r>
  <r>
    <x v="2"/>
    <x v="1"/>
    <s v="Travel_Frequently"/>
    <n v="889"/>
    <x v="1"/>
    <n v="9"/>
    <x v="3"/>
    <s v="Medical"/>
    <n v="1"/>
    <n v="403"/>
    <n v="2"/>
    <x v="1"/>
    <n v="53"/>
    <n v="3"/>
    <n v="1"/>
    <x v="1"/>
    <n v="4"/>
    <x v="1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  <x v="1"/>
    <x v="2"/>
    <x v="1"/>
  </r>
  <r>
    <x v="19"/>
    <x v="1"/>
    <s v="Travel_Frequently"/>
    <n v="555"/>
    <x v="0"/>
    <n v="26"/>
    <x v="3"/>
    <s v="Marketing"/>
    <n v="1"/>
    <n v="404"/>
    <n v="3"/>
    <x v="0"/>
    <n v="77"/>
    <n v="3"/>
    <n v="4"/>
    <x v="0"/>
    <n v="2"/>
    <x v="1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  <x v="0"/>
    <x v="3"/>
    <x v="0"/>
  </r>
  <r>
    <x v="41"/>
    <x v="0"/>
    <s v="Travel_Rarely"/>
    <n v="230"/>
    <x v="1"/>
    <n v="3"/>
    <x v="3"/>
    <s v="Life Sciences"/>
    <n v="1"/>
    <n v="405"/>
    <n v="3"/>
    <x v="1"/>
    <n v="54"/>
    <n v="3"/>
    <n v="1"/>
    <x v="2"/>
    <n v="3"/>
    <x v="0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  <x v="1"/>
    <x v="0"/>
    <x v="1"/>
  </r>
  <r>
    <x v="10"/>
    <x v="1"/>
    <s v="Travel_Rarely"/>
    <n v="1232"/>
    <x v="0"/>
    <n v="16"/>
    <x v="3"/>
    <s v="Marketing"/>
    <n v="1"/>
    <n v="406"/>
    <n v="3"/>
    <x v="1"/>
    <n v="96"/>
    <n v="3"/>
    <n v="3"/>
    <x v="0"/>
    <n v="2"/>
    <x v="1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  <x v="1"/>
    <x v="3"/>
    <x v="0"/>
  </r>
  <r>
    <x v="9"/>
    <x v="1"/>
    <s v="Travel_Frequently"/>
    <n v="566"/>
    <x v="1"/>
    <n v="18"/>
    <x v="2"/>
    <s v="Life Sciences"/>
    <n v="1"/>
    <n v="407"/>
    <n v="3"/>
    <x v="1"/>
    <n v="81"/>
    <n v="4"/>
    <n v="1"/>
    <x v="2"/>
    <n v="4"/>
    <x v="1"/>
    <n v="3688"/>
    <n v="7122"/>
    <n v="4"/>
    <s v="Y"/>
    <s v="No"/>
    <n v="18"/>
    <n v="3"/>
    <n v="4"/>
    <n v="80"/>
    <n v="2"/>
    <n v="4"/>
    <n v="2"/>
    <n v="3"/>
    <n v="1"/>
    <n v="0"/>
    <n v="0"/>
    <n v="0"/>
    <m/>
    <x v="1"/>
    <x v="0"/>
    <x v="1"/>
  </r>
  <r>
    <x v="31"/>
    <x v="1"/>
    <s v="Travel_Rarely"/>
    <n v="1302"/>
    <x v="1"/>
    <n v="2"/>
    <x v="3"/>
    <s v="Medical"/>
    <n v="1"/>
    <n v="408"/>
    <n v="4"/>
    <x v="1"/>
    <n v="84"/>
    <n v="1"/>
    <n v="2"/>
    <x v="3"/>
    <n v="2"/>
    <x v="2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  <x v="1"/>
    <x v="2"/>
    <x v="1"/>
  </r>
  <r>
    <x v="0"/>
    <x v="1"/>
    <s v="Travel_Rarely"/>
    <n v="334"/>
    <x v="0"/>
    <n v="2"/>
    <x v="2"/>
    <s v="Life Sciences"/>
    <n v="1"/>
    <n v="410"/>
    <n v="4"/>
    <x v="1"/>
    <n v="88"/>
    <n v="3"/>
    <n v="4"/>
    <x v="5"/>
    <n v="2"/>
    <x v="0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  <x v="1"/>
    <x v="0"/>
    <x v="0"/>
  </r>
  <r>
    <x v="41"/>
    <x v="1"/>
    <s v="Travel_Rarely"/>
    <n v="812"/>
    <x v="0"/>
    <n v="10"/>
    <x v="3"/>
    <s v="Medical"/>
    <n v="1"/>
    <n v="411"/>
    <n v="4"/>
    <x v="0"/>
    <n v="69"/>
    <n v="2"/>
    <n v="1"/>
    <x v="6"/>
    <n v="3"/>
    <x v="0"/>
    <n v="1200"/>
    <n v="9724"/>
    <n v="1"/>
    <s v="Y"/>
    <s v="No"/>
    <n v="12"/>
    <n v="3"/>
    <n v="1"/>
    <n v="80"/>
    <n v="0"/>
    <n v="0"/>
    <n v="2"/>
    <n v="3"/>
    <n v="0"/>
    <n v="0"/>
    <n v="0"/>
    <n v="0"/>
    <m/>
    <x v="0"/>
    <x v="2"/>
    <x v="0"/>
  </r>
  <r>
    <x v="14"/>
    <x v="1"/>
    <s v="Travel_Rarely"/>
    <n v="1476"/>
    <x v="1"/>
    <n v="16"/>
    <x v="0"/>
    <s v="Medical"/>
    <n v="1"/>
    <n v="412"/>
    <n v="2"/>
    <x v="1"/>
    <n v="68"/>
    <n v="4"/>
    <n v="2"/>
    <x v="4"/>
    <n v="1"/>
    <x v="0"/>
    <n v="5661"/>
    <n v="4824"/>
    <n v="0"/>
    <s v="Y"/>
    <s v="No"/>
    <n v="19"/>
    <n v="3"/>
    <n v="3"/>
    <n v="80"/>
    <n v="0"/>
    <n v="9"/>
    <n v="2"/>
    <n v="3"/>
    <n v="8"/>
    <n v="3"/>
    <n v="0"/>
    <n v="7"/>
    <m/>
    <x v="1"/>
    <x v="2"/>
    <x v="1"/>
  </r>
  <r>
    <x v="12"/>
    <x v="1"/>
    <s v="Travel_Rarely"/>
    <n v="218"/>
    <x v="0"/>
    <n v="7"/>
    <x v="3"/>
    <s v="Technical Degree"/>
    <n v="1"/>
    <n v="416"/>
    <n v="2"/>
    <x v="1"/>
    <n v="100"/>
    <n v="4"/>
    <n v="2"/>
    <x v="0"/>
    <n v="4"/>
    <x v="1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  <x v="1"/>
    <x v="4"/>
    <x v="0"/>
  </r>
  <r>
    <x v="22"/>
    <x v="1"/>
    <s v="Travel_Rarely"/>
    <n v="1132"/>
    <x v="1"/>
    <n v="1"/>
    <x v="3"/>
    <s v="Medical"/>
    <n v="1"/>
    <n v="417"/>
    <n v="3"/>
    <x v="1"/>
    <n v="48"/>
    <n v="4"/>
    <n v="3"/>
    <x v="4"/>
    <n v="4"/>
    <x v="2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  <x v="1"/>
    <x v="2"/>
    <x v="1"/>
  </r>
  <r>
    <x v="9"/>
    <x v="1"/>
    <s v="Non-Travel"/>
    <n v="1105"/>
    <x v="1"/>
    <n v="24"/>
    <x v="2"/>
    <s v="Life Sciences"/>
    <n v="1"/>
    <n v="419"/>
    <n v="2"/>
    <x v="0"/>
    <n v="47"/>
    <n v="3"/>
    <n v="2"/>
    <x v="2"/>
    <n v="2"/>
    <x v="1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  <x v="0"/>
    <x v="0"/>
    <x v="1"/>
  </r>
  <r>
    <x v="5"/>
    <x v="1"/>
    <s v="Travel_Rarely"/>
    <n v="906"/>
    <x v="0"/>
    <n v="7"/>
    <x v="3"/>
    <s v="Life Sciences"/>
    <n v="1"/>
    <n v="420"/>
    <n v="4"/>
    <x v="1"/>
    <n v="91"/>
    <n v="2"/>
    <n v="2"/>
    <x v="0"/>
    <n v="3"/>
    <x v="1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  <x v="1"/>
    <x v="0"/>
    <x v="0"/>
  </r>
  <r>
    <x v="8"/>
    <x v="1"/>
    <s v="Travel_Rarely"/>
    <n v="849"/>
    <x v="1"/>
    <n v="25"/>
    <x v="0"/>
    <s v="Life Sciences"/>
    <n v="1"/>
    <n v="421"/>
    <n v="1"/>
    <x v="0"/>
    <n v="81"/>
    <n v="2"/>
    <n v="3"/>
    <x v="7"/>
    <n v="2"/>
    <x v="1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  <x v="0"/>
    <x v="0"/>
    <x v="1"/>
  </r>
  <r>
    <x v="34"/>
    <x v="1"/>
    <s v="Non-Travel"/>
    <n v="390"/>
    <x v="1"/>
    <n v="1"/>
    <x v="2"/>
    <s v="Life Sciences"/>
    <n v="1"/>
    <n v="422"/>
    <n v="4"/>
    <x v="1"/>
    <n v="32"/>
    <n v="1"/>
    <n v="2"/>
    <x v="4"/>
    <n v="3"/>
    <x v="2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  <x v="1"/>
    <x v="0"/>
    <x v="1"/>
  </r>
  <r>
    <x v="12"/>
    <x v="1"/>
    <s v="Travel_Rarely"/>
    <n v="691"/>
    <x v="1"/>
    <n v="5"/>
    <x v="2"/>
    <s v="Technical Degree"/>
    <n v="1"/>
    <n v="423"/>
    <n v="3"/>
    <x v="1"/>
    <n v="86"/>
    <n v="3"/>
    <n v="1"/>
    <x v="1"/>
    <n v="4"/>
    <x v="1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  <x v="1"/>
    <x v="4"/>
    <x v="1"/>
  </r>
  <r>
    <x v="12"/>
    <x v="1"/>
    <s v="Travel_Rarely"/>
    <n v="106"/>
    <x v="2"/>
    <n v="2"/>
    <x v="3"/>
    <s v="Human Resources"/>
    <n v="1"/>
    <n v="424"/>
    <n v="1"/>
    <x v="1"/>
    <n v="62"/>
    <n v="2"/>
    <n v="2"/>
    <x v="8"/>
    <n v="1"/>
    <x v="1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  <x v="1"/>
    <x v="5"/>
    <x v="2"/>
  </r>
  <r>
    <x v="28"/>
    <x v="1"/>
    <s v="Travel_Frequently"/>
    <n v="1249"/>
    <x v="1"/>
    <n v="7"/>
    <x v="3"/>
    <s v="Life Sciences"/>
    <n v="1"/>
    <n v="425"/>
    <n v="1"/>
    <x v="1"/>
    <n v="97"/>
    <n v="3"/>
    <n v="3"/>
    <x v="2"/>
    <n v="1"/>
    <x v="2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  <x v="1"/>
    <x v="0"/>
    <x v="1"/>
  </r>
  <r>
    <x v="12"/>
    <x v="1"/>
    <s v="Travel_Rarely"/>
    <n v="192"/>
    <x v="1"/>
    <n v="2"/>
    <x v="2"/>
    <s v="Life Sciences"/>
    <n v="1"/>
    <n v="426"/>
    <n v="3"/>
    <x v="1"/>
    <n v="32"/>
    <n v="3"/>
    <n v="1"/>
    <x v="1"/>
    <n v="4"/>
    <x v="2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  <x v="1"/>
    <x v="0"/>
    <x v="1"/>
  </r>
  <r>
    <x v="3"/>
    <x v="1"/>
    <s v="Travel_Frequently"/>
    <n v="553"/>
    <x v="1"/>
    <n v="5"/>
    <x v="2"/>
    <s v="Life Sciences"/>
    <n v="1"/>
    <n v="428"/>
    <n v="4"/>
    <x v="0"/>
    <n v="74"/>
    <n v="3"/>
    <n v="3"/>
    <x v="5"/>
    <n v="2"/>
    <x v="1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  <x v="0"/>
    <x v="0"/>
    <x v="1"/>
  </r>
  <r>
    <x v="22"/>
    <x v="1"/>
    <s v="Travel_Rarely"/>
    <n v="117"/>
    <x v="1"/>
    <n v="10"/>
    <x v="1"/>
    <s v="Medical"/>
    <n v="1"/>
    <n v="429"/>
    <n v="3"/>
    <x v="1"/>
    <n v="99"/>
    <n v="3"/>
    <n v="4"/>
    <x v="5"/>
    <n v="1"/>
    <x v="1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  <x v="1"/>
    <x v="2"/>
    <x v="1"/>
  </r>
  <r>
    <x v="23"/>
    <x v="1"/>
    <s v="Travel_Frequently"/>
    <n v="185"/>
    <x v="1"/>
    <n v="10"/>
    <x v="2"/>
    <s v="Life Sciences"/>
    <n v="1"/>
    <n v="430"/>
    <n v="3"/>
    <x v="0"/>
    <n v="33"/>
    <n v="3"/>
    <n v="1"/>
    <x v="2"/>
    <n v="4"/>
    <x v="0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  <x v="0"/>
    <x v="0"/>
    <x v="1"/>
  </r>
  <r>
    <x v="1"/>
    <x v="1"/>
    <s v="Travel_Rarely"/>
    <n v="1091"/>
    <x v="1"/>
    <n v="1"/>
    <x v="0"/>
    <s v="Technical Degree"/>
    <n v="1"/>
    <n v="431"/>
    <n v="3"/>
    <x v="0"/>
    <n v="90"/>
    <n v="2"/>
    <n v="4"/>
    <x v="4"/>
    <n v="3"/>
    <x v="0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  <x v="0"/>
    <x v="4"/>
    <x v="1"/>
  </r>
  <r>
    <x v="39"/>
    <x v="0"/>
    <s v="Travel_Rarely"/>
    <n v="723"/>
    <x v="1"/>
    <n v="8"/>
    <x v="2"/>
    <s v="Medical"/>
    <n v="1"/>
    <n v="433"/>
    <n v="3"/>
    <x v="1"/>
    <n v="85"/>
    <n v="2"/>
    <n v="2"/>
    <x v="1"/>
    <n v="2"/>
    <x v="1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  <x v="1"/>
    <x v="2"/>
    <x v="1"/>
  </r>
  <r>
    <x v="4"/>
    <x v="1"/>
    <s v="Travel_Rarely"/>
    <n v="1220"/>
    <x v="1"/>
    <n v="5"/>
    <x v="3"/>
    <s v="Life Sciences"/>
    <n v="1"/>
    <n v="434"/>
    <n v="3"/>
    <x v="0"/>
    <n v="85"/>
    <n v="3"/>
    <n v="1"/>
    <x v="1"/>
    <n v="2"/>
    <x v="0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  <x v="0"/>
    <x v="0"/>
    <x v="1"/>
  </r>
  <r>
    <x v="5"/>
    <x v="1"/>
    <s v="Travel_Rarely"/>
    <n v="588"/>
    <x v="0"/>
    <n v="8"/>
    <x v="0"/>
    <s v="Technical Degree"/>
    <n v="1"/>
    <n v="436"/>
    <n v="3"/>
    <x v="0"/>
    <n v="65"/>
    <n v="2"/>
    <n v="2"/>
    <x v="0"/>
    <n v="2"/>
    <x v="1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  <x v="0"/>
    <x v="4"/>
    <x v="0"/>
  </r>
  <r>
    <x v="4"/>
    <x v="1"/>
    <s v="Travel_Rarely"/>
    <n v="1377"/>
    <x v="0"/>
    <n v="2"/>
    <x v="3"/>
    <s v="Life Sciences"/>
    <n v="1"/>
    <n v="437"/>
    <n v="4"/>
    <x v="1"/>
    <n v="74"/>
    <n v="3"/>
    <n v="2"/>
    <x v="0"/>
    <n v="3"/>
    <x v="0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  <x v="1"/>
    <x v="0"/>
    <x v="0"/>
  </r>
  <r>
    <x v="12"/>
    <x v="1"/>
    <s v="Travel_Rarely"/>
    <n v="691"/>
    <x v="0"/>
    <n v="7"/>
    <x v="3"/>
    <s v="Marketing"/>
    <n v="1"/>
    <n v="438"/>
    <n v="4"/>
    <x v="1"/>
    <n v="73"/>
    <n v="3"/>
    <n v="2"/>
    <x v="0"/>
    <n v="4"/>
    <x v="2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  <x v="1"/>
    <x v="3"/>
    <x v="0"/>
  </r>
  <r>
    <x v="5"/>
    <x v="1"/>
    <s v="Travel_Rarely"/>
    <n v="1018"/>
    <x v="1"/>
    <n v="2"/>
    <x v="2"/>
    <s v="Medical"/>
    <n v="1"/>
    <n v="439"/>
    <n v="1"/>
    <x v="0"/>
    <n v="74"/>
    <n v="4"/>
    <n v="2"/>
    <x v="1"/>
    <n v="4"/>
    <x v="0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  <x v="0"/>
    <x v="2"/>
    <x v="1"/>
  </r>
  <r>
    <x v="14"/>
    <x v="0"/>
    <s v="Travel_Rarely"/>
    <n v="1157"/>
    <x v="1"/>
    <n v="2"/>
    <x v="2"/>
    <s v="Medical"/>
    <n v="1"/>
    <n v="440"/>
    <n v="1"/>
    <x v="1"/>
    <n v="84"/>
    <n v="1"/>
    <n v="1"/>
    <x v="1"/>
    <n v="4"/>
    <x v="1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  <x v="1"/>
    <x v="2"/>
    <x v="1"/>
  </r>
  <r>
    <x v="7"/>
    <x v="1"/>
    <s v="Travel_Rarely"/>
    <n v="1275"/>
    <x v="1"/>
    <n v="28"/>
    <x v="0"/>
    <s v="Medical"/>
    <n v="1"/>
    <n v="441"/>
    <n v="4"/>
    <x v="0"/>
    <n v="64"/>
    <n v="3"/>
    <n v="2"/>
    <x v="1"/>
    <n v="4"/>
    <x v="1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  <x v="0"/>
    <x v="2"/>
    <x v="1"/>
  </r>
  <r>
    <x v="12"/>
    <x v="1"/>
    <s v="Travel_Frequently"/>
    <n v="798"/>
    <x v="1"/>
    <n v="7"/>
    <x v="0"/>
    <s v="Life Sciences"/>
    <n v="1"/>
    <n v="442"/>
    <n v="3"/>
    <x v="0"/>
    <n v="48"/>
    <n v="2"/>
    <n v="3"/>
    <x v="3"/>
    <n v="3"/>
    <x v="1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  <x v="0"/>
    <x v="0"/>
    <x v="1"/>
  </r>
  <r>
    <x v="22"/>
    <x v="1"/>
    <s v="Travel_Frequently"/>
    <n v="672"/>
    <x v="1"/>
    <n v="7"/>
    <x v="0"/>
    <s v="Medical"/>
    <n v="1"/>
    <n v="444"/>
    <n v="3"/>
    <x v="1"/>
    <n v="54"/>
    <n v="2"/>
    <n v="5"/>
    <x v="5"/>
    <n v="4"/>
    <x v="1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  <x v="1"/>
    <x v="2"/>
    <x v="1"/>
  </r>
  <r>
    <x v="22"/>
    <x v="0"/>
    <s v="Travel_Rarely"/>
    <n v="1162"/>
    <x v="0"/>
    <n v="3"/>
    <x v="0"/>
    <s v="Medical"/>
    <n v="1"/>
    <n v="445"/>
    <n v="4"/>
    <x v="0"/>
    <n v="41"/>
    <n v="3"/>
    <n v="2"/>
    <x v="0"/>
    <n v="3"/>
    <x v="1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  <x v="0"/>
    <x v="2"/>
    <x v="0"/>
  </r>
  <r>
    <x v="3"/>
    <x v="1"/>
    <s v="Travel_Frequently"/>
    <n v="508"/>
    <x v="0"/>
    <n v="10"/>
    <x v="3"/>
    <s v="Marketing"/>
    <n v="1"/>
    <n v="446"/>
    <n v="2"/>
    <x v="1"/>
    <n v="46"/>
    <n v="2"/>
    <n v="2"/>
    <x v="0"/>
    <n v="4"/>
    <x v="0"/>
    <n v="4682"/>
    <n v="4317"/>
    <n v="3"/>
    <s v="Y"/>
    <s v="No"/>
    <n v="14"/>
    <n v="3"/>
    <n v="3"/>
    <n v="80"/>
    <n v="0"/>
    <n v="9"/>
    <n v="6"/>
    <n v="2"/>
    <n v="7"/>
    <n v="7"/>
    <n v="0"/>
    <n v="1"/>
    <m/>
    <x v="1"/>
    <x v="3"/>
    <x v="0"/>
  </r>
  <r>
    <x v="40"/>
    <x v="1"/>
    <s v="Travel_Rarely"/>
    <n v="1482"/>
    <x v="1"/>
    <n v="5"/>
    <x v="4"/>
    <s v="Life Sciences"/>
    <n v="1"/>
    <n v="447"/>
    <n v="4"/>
    <x v="1"/>
    <n v="42"/>
    <n v="3"/>
    <n v="5"/>
    <x v="7"/>
    <n v="3"/>
    <x v="1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  <x v="1"/>
    <x v="0"/>
    <x v="1"/>
  </r>
  <r>
    <x v="23"/>
    <x v="1"/>
    <s v="Travel_Frequently"/>
    <n v="559"/>
    <x v="1"/>
    <n v="10"/>
    <x v="2"/>
    <s v="Life Sciences"/>
    <n v="1"/>
    <n v="448"/>
    <n v="3"/>
    <x v="0"/>
    <n v="82"/>
    <n v="2"/>
    <n v="2"/>
    <x v="2"/>
    <n v="3"/>
    <x v="2"/>
    <n v="5257"/>
    <n v="6227"/>
    <n v="1"/>
    <s v="Y"/>
    <s v="No"/>
    <n v="11"/>
    <n v="3"/>
    <n v="2"/>
    <n v="80"/>
    <n v="1"/>
    <n v="9"/>
    <n v="3"/>
    <n v="4"/>
    <n v="9"/>
    <n v="7"/>
    <n v="0"/>
    <n v="0"/>
    <m/>
    <x v="0"/>
    <x v="0"/>
    <x v="1"/>
  </r>
  <r>
    <x v="4"/>
    <x v="1"/>
    <s v="Non-Travel"/>
    <n v="210"/>
    <x v="0"/>
    <n v="1"/>
    <x v="1"/>
    <s v="Marketing"/>
    <n v="1"/>
    <n v="449"/>
    <n v="3"/>
    <x v="1"/>
    <n v="73"/>
    <n v="3"/>
    <n v="2"/>
    <x v="0"/>
    <n v="2"/>
    <x v="1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  <x v="1"/>
    <x v="3"/>
    <x v="0"/>
  </r>
  <r>
    <x v="33"/>
    <x v="1"/>
    <s v="Travel_Frequently"/>
    <n v="928"/>
    <x v="1"/>
    <n v="20"/>
    <x v="2"/>
    <s v="Life Sciences"/>
    <n v="1"/>
    <n v="450"/>
    <n v="4"/>
    <x v="0"/>
    <n v="31"/>
    <n v="3"/>
    <n v="2"/>
    <x v="1"/>
    <n v="3"/>
    <x v="0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  <x v="0"/>
    <x v="0"/>
    <x v="1"/>
  </r>
  <r>
    <x v="23"/>
    <x v="1"/>
    <s v="Travel_Rarely"/>
    <n v="1001"/>
    <x v="1"/>
    <n v="7"/>
    <x v="3"/>
    <s v="Life Sciences"/>
    <n v="1"/>
    <n v="451"/>
    <n v="3"/>
    <x v="0"/>
    <n v="43"/>
    <n v="3"/>
    <n v="3"/>
    <x v="4"/>
    <n v="1"/>
    <x v="1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  <x v="0"/>
    <x v="0"/>
    <x v="1"/>
  </r>
  <r>
    <x v="28"/>
    <x v="1"/>
    <s v="Travel_Rarely"/>
    <n v="549"/>
    <x v="1"/>
    <n v="8"/>
    <x v="2"/>
    <s v="Other"/>
    <n v="1"/>
    <n v="452"/>
    <n v="4"/>
    <x v="1"/>
    <n v="75"/>
    <n v="3"/>
    <n v="2"/>
    <x v="1"/>
    <n v="4"/>
    <x v="1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  <x v="1"/>
    <x v="1"/>
    <x v="1"/>
  </r>
  <r>
    <x v="32"/>
    <x v="1"/>
    <s v="Travel_Rarely"/>
    <n v="1124"/>
    <x v="0"/>
    <n v="1"/>
    <x v="0"/>
    <s v="Medical"/>
    <n v="1"/>
    <n v="453"/>
    <n v="2"/>
    <x v="1"/>
    <n v="57"/>
    <n v="1"/>
    <n v="2"/>
    <x v="0"/>
    <n v="4"/>
    <x v="1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  <x v="1"/>
    <x v="2"/>
    <x v="0"/>
  </r>
  <r>
    <x v="11"/>
    <x v="0"/>
    <s v="Travel_Rarely"/>
    <n v="318"/>
    <x v="1"/>
    <n v="8"/>
    <x v="2"/>
    <s v="Other"/>
    <n v="1"/>
    <n v="454"/>
    <n v="2"/>
    <x v="1"/>
    <n v="77"/>
    <n v="1"/>
    <n v="1"/>
    <x v="2"/>
    <n v="1"/>
    <x v="1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  <x v="1"/>
    <x v="1"/>
    <x v="1"/>
  </r>
  <r>
    <x v="11"/>
    <x v="1"/>
    <s v="Travel_Rarely"/>
    <n v="738"/>
    <x v="1"/>
    <n v="9"/>
    <x v="4"/>
    <s v="Other"/>
    <n v="1"/>
    <n v="455"/>
    <n v="2"/>
    <x v="1"/>
    <n v="30"/>
    <n v="2"/>
    <n v="1"/>
    <x v="2"/>
    <n v="4"/>
    <x v="0"/>
    <n v="3983"/>
    <n v="7621"/>
    <n v="0"/>
    <s v="Y"/>
    <s v="No"/>
    <n v="17"/>
    <n v="3"/>
    <n v="3"/>
    <n v="80"/>
    <n v="0"/>
    <n v="4"/>
    <n v="2"/>
    <n v="3"/>
    <n v="3"/>
    <n v="2"/>
    <n v="2"/>
    <n v="2"/>
    <m/>
    <x v="1"/>
    <x v="1"/>
    <x v="1"/>
  </r>
  <r>
    <x v="7"/>
    <x v="1"/>
    <s v="Travel_Rarely"/>
    <n v="570"/>
    <x v="0"/>
    <n v="5"/>
    <x v="3"/>
    <s v="Marketing"/>
    <n v="1"/>
    <n v="456"/>
    <n v="4"/>
    <x v="0"/>
    <n v="30"/>
    <n v="2"/>
    <n v="2"/>
    <x v="0"/>
    <n v="3"/>
    <x v="2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  <x v="0"/>
    <x v="3"/>
    <x v="0"/>
  </r>
  <r>
    <x v="4"/>
    <x v="1"/>
    <s v="Travel_Rarely"/>
    <n v="1130"/>
    <x v="0"/>
    <n v="8"/>
    <x v="2"/>
    <s v="Marketing"/>
    <n v="1"/>
    <n v="458"/>
    <n v="2"/>
    <x v="0"/>
    <n v="56"/>
    <n v="3"/>
    <n v="2"/>
    <x v="0"/>
    <n v="2"/>
    <x v="1"/>
    <n v="6214"/>
    <n v="3415"/>
    <n v="1"/>
    <s v="Y"/>
    <s v="No"/>
    <n v="18"/>
    <n v="3"/>
    <n v="1"/>
    <n v="80"/>
    <n v="1"/>
    <n v="8"/>
    <n v="3"/>
    <n v="3"/>
    <n v="8"/>
    <n v="7"/>
    <n v="0"/>
    <n v="7"/>
    <m/>
    <x v="0"/>
    <x v="3"/>
    <x v="0"/>
  </r>
  <r>
    <x v="2"/>
    <x v="1"/>
    <s v="Travel_Rarely"/>
    <n v="1192"/>
    <x v="1"/>
    <n v="5"/>
    <x v="0"/>
    <s v="Medical"/>
    <n v="1"/>
    <n v="460"/>
    <n v="4"/>
    <x v="1"/>
    <n v="61"/>
    <n v="3"/>
    <n v="2"/>
    <x v="3"/>
    <n v="4"/>
    <x v="2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  <x v="1"/>
    <x v="2"/>
    <x v="1"/>
  </r>
  <r>
    <x v="8"/>
    <x v="1"/>
    <s v="Travel_Rarely"/>
    <n v="343"/>
    <x v="1"/>
    <n v="15"/>
    <x v="0"/>
    <s v="Life Sciences"/>
    <n v="1"/>
    <n v="461"/>
    <n v="3"/>
    <x v="1"/>
    <n v="92"/>
    <n v="2"/>
    <n v="3"/>
    <x v="7"/>
    <n v="4"/>
    <x v="2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  <x v="1"/>
    <x v="0"/>
    <x v="1"/>
  </r>
  <r>
    <x v="12"/>
    <x v="1"/>
    <s v="Travel_Rarely"/>
    <n v="1232"/>
    <x v="1"/>
    <n v="7"/>
    <x v="2"/>
    <s v="Medical"/>
    <n v="1"/>
    <n v="462"/>
    <n v="3"/>
    <x v="0"/>
    <n v="39"/>
    <n v="3"/>
    <n v="3"/>
    <x v="3"/>
    <n v="4"/>
    <x v="0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  <x v="0"/>
    <x v="2"/>
    <x v="1"/>
  </r>
  <r>
    <x v="11"/>
    <x v="1"/>
    <s v="Travel_Rarely"/>
    <n v="144"/>
    <x v="0"/>
    <n v="10"/>
    <x v="1"/>
    <s v="Marketing"/>
    <n v="1"/>
    <n v="463"/>
    <n v="4"/>
    <x v="0"/>
    <n v="39"/>
    <n v="2"/>
    <n v="2"/>
    <x v="0"/>
    <n v="2"/>
    <x v="2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  <x v="0"/>
    <x v="3"/>
    <x v="0"/>
  </r>
  <r>
    <x v="10"/>
    <x v="1"/>
    <s v="Travel_Rarely"/>
    <n v="1296"/>
    <x v="1"/>
    <n v="5"/>
    <x v="2"/>
    <s v="Technical Degree"/>
    <n v="1"/>
    <n v="464"/>
    <n v="3"/>
    <x v="1"/>
    <n v="62"/>
    <n v="3"/>
    <n v="3"/>
    <x v="3"/>
    <n v="2"/>
    <x v="0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  <x v="1"/>
    <x v="4"/>
    <x v="1"/>
  </r>
  <r>
    <x v="30"/>
    <x v="1"/>
    <s v="Travel_Rarely"/>
    <n v="1309"/>
    <x v="1"/>
    <n v="26"/>
    <x v="1"/>
    <s v="Life Sciences"/>
    <n v="1"/>
    <n v="465"/>
    <n v="3"/>
    <x v="1"/>
    <n v="83"/>
    <n v="3"/>
    <n v="1"/>
    <x v="1"/>
    <n v="4"/>
    <x v="2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  <x v="1"/>
    <x v="0"/>
    <x v="1"/>
  </r>
  <r>
    <x v="0"/>
    <x v="1"/>
    <s v="Travel_Rarely"/>
    <n v="483"/>
    <x v="1"/>
    <n v="6"/>
    <x v="3"/>
    <s v="Medical"/>
    <n v="1"/>
    <n v="466"/>
    <n v="4"/>
    <x v="1"/>
    <n v="95"/>
    <n v="2"/>
    <n v="2"/>
    <x v="3"/>
    <n v="2"/>
    <x v="0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  <x v="1"/>
    <x v="2"/>
    <x v="1"/>
  </r>
  <r>
    <x v="40"/>
    <x v="1"/>
    <s v="Travel_Frequently"/>
    <n v="1309"/>
    <x v="0"/>
    <n v="4"/>
    <x v="1"/>
    <s v="Medical"/>
    <n v="1"/>
    <n v="467"/>
    <n v="2"/>
    <x v="1"/>
    <n v="99"/>
    <n v="3"/>
    <n v="2"/>
    <x v="6"/>
    <n v="3"/>
    <x v="0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  <x v="1"/>
    <x v="2"/>
    <x v="0"/>
  </r>
  <r>
    <x v="19"/>
    <x v="1"/>
    <s v="Travel_Rarely"/>
    <n v="810"/>
    <x v="1"/>
    <n v="23"/>
    <x v="4"/>
    <s v="Life Sciences"/>
    <n v="1"/>
    <n v="468"/>
    <n v="1"/>
    <x v="0"/>
    <n v="44"/>
    <n v="3"/>
    <n v="4"/>
    <x v="7"/>
    <n v="4"/>
    <x v="0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  <x v="0"/>
    <x v="0"/>
    <x v="1"/>
  </r>
  <r>
    <x v="11"/>
    <x v="1"/>
    <s v="Non-Travel"/>
    <n v="746"/>
    <x v="0"/>
    <n v="2"/>
    <x v="3"/>
    <s v="Life Sciences"/>
    <n v="1"/>
    <n v="469"/>
    <n v="4"/>
    <x v="1"/>
    <n v="61"/>
    <n v="3"/>
    <n v="2"/>
    <x v="0"/>
    <n v="3"/>
    <x v="1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  <x v="1"/>
    <x v="0"/>
    <x v="0"/>
  </r>
  <r>
    <x v="19"/>
    <x v="1"/>
    <s v="Travel_Rarely"/>
    <n v="544"/>
    <x v="2"/>
    <n v="2"/>
    <x v="1"/>
    <s v="Technical Degree"/>
    <n v="1"/>
    <n v="470"/>
    <n v="3"/>
    <x v="1"/>
    <n v="52"/>
    <n v="3"/>
    <n v="1"/>
    <x v="8"/>
    <n v="3"/>
    <x v="2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  <x v="1"/>
    <x v="4"/>
    <x v="2"/>
  </r>
  <r>
    <x v="5"/>
    <x v="1"/>
    <s v="Travel_Rarely"/>
    <n v="1062"/>
    <x v="1"/>
    <n v="2"/>
    <x v="3"/>
    <s v="Medical"/>
    <n v="1"/>
    <n v="471"/>
    <n v="3"/>
    <x v="0"/>
    <n v="75"/>
    <n v="3"/>
    <n v="1"/>
    <x v="2"/>
    <n v="2"/>
    <x v="1"/>
    <n v="2370"/>
    <n v="3956"/>
    <n v="1"/>
    <s v="Y"/>
    <s v="No"/>
    <n v="13"/>
    <n v="3"/>
    <n v="3"/>
    <n v="80"/>
    <n v="1"/>
    <n v="8"/>
    <n v="4"/>
    <n v="3"/>
    <n v="8"/>
    <n v="0"/>
    <n v="0"/>
    <n v="7"/>
    <m/>
    <x v="0"/>
    <x v="2"/>
    <x v="1"/>
  </r>
  <r>
    <x v="26"/>
    <x v="1"/>
    <s v="Travel_Rarely"/>
    <n v="530"/>
    <x v="0"/>
    <n v="29"/>
    <x v="1"/>
    <s v="Medical"/>
    <n v="1"/>
    <n v="473"/>
    <n v="1"/>
    <x v="0"/>
    <n v="91"/>
    <n v="3"/>
    <n v="3"/>
    <x v="5"/>
    <n v="3"/>
    <x v="1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  <x v="0"/>
    <x v="2"/>
    <x v="0"/>
  </r>
  <r>
    <x v="2"/>
    <x v="1"/>
    <s v="Travel_Rarely"/>
    <n v="1319"/>
    <x v="1"/>
    <n v="6"/>
    <x v="3"/>
    <s v="Medical"/>
    <n v="1"/>
    <n v="474"/>
    <n v="3"/>
    <x v="1"/>
    <n v="51"/>
    <n v="4"/>
    <n v="2"/>
    <x v="1"/>
    <n v="1"/>
    <x v="2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  <x v="1"/>
    <x v="2"/>
    <x v="1"/>
  </r>
  <r>
    <x v="7"/>
    <x v="1"/>
    <s v="Non-Travel"/>
    <n v="641"/>
    <x v="0"/>
    <n v="25"/>
    <x v="0"/>
    <s v="Technical Degree"/>
    <n v="1"/>
    <n v="475"/>
    <n v="4"/>
    <x v="0"/>
    <n v="85"/>
    <n v="3"/>
    <n v="2"/>
    <x v="0"/>
    <n v="3"/>
    <x v="1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  <x v="0"/>
    <x v="4"/>
    <x v="0"/>
  </r>
  <r>
    <x v="25"/>
    <x v="1"/>
    <s v="Travel_Rarely"/>
    <n v="933"/>
    <x v="0"/>
    <n v="1"/>
    <x v="3"/>
    <s v="Life Sciences"/>
    <n v="1"/>
    <n v="476"/>
    <n v="3"/>
    <x v="1"/>
    <n v="57"/>
    <n v="3"/>
    <n v="2"/>
    <x v="0"/>
    <n v="3"/>
    <x v="1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  <x v="1"/>
    <x v="0"/>
    <x v="0"/>
  </r>
  <r>
    <x v="19"/>
    <x v="1"/>
    <s v="Travel_Rarely"/>
    <n v="1332"/>
    <x v="1"/>
    <n v="2"/>
    <x v="2"/>
    <s v="Other"/>
    <n v="1"/>
    <n v="477"/>
    <n v="1"/>
    <x v="1"/>
    <n v="98"/>
    <n v="2"/>
    <n v="2"/>
    <x v="4"/>
    <n v="4"/>
    <x v="0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  <x v="1"/>
    <x v="1"/>
    <x v="1"/>
  </r>
  <r>
    <x v="18"/>
    <x v="0"/>
    <s v="Travel_Frequently"/>
    <n v="756"/>
    <x v="0"/>
    <n v="1"/>
    <x v="1"/>
    <s v="Technical Degree"/>
    <n v="1"/>
    <n v="478"/>
    <n v="1"/>
    <x v="0"/>
    <n v="99"/>
    <n v="2"/>
    <n v="1"/>
    <x v="6"/>
    <n v="2"/>
    <x v="0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  <x v="0"/>
    <x v="4"/>
    <x v="0"/>
  </r>
  <r>
    <x v="9"/>
    <x v="1"/>
    <s v="Non-Travel"/>
    <n v="845"/>
    <x v="0"/>
    <n v="1"/>
    <x v="4"/>
    <s v="Medical"/>
    <n v="1"/>
    <n v="479"/>
    <n v="4"/>
    <x v="0"/>
    <n v="45"/>
    <n v="3"/>
    <n v="2"/>
    <x v="0"/>
    <n v="4"/>
    <x v="0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  <x v="0"/>
    <x v="2"/>
    <x v="0"/>
  </r>
  <r>
    <x v="9"/>
    <x v="1"/>
    <s v="Travel_Frequently"/>
    <n v="541"/>
    <x v="0"/>
    <n v="3"/>
    <x v="2"/>
    <s v="Medical"/>
    <n v="1"/>
    <n v="481"/>
    <n v="1"/>
    <x v="1"/>
    <n v="48"/>
    <n v="2"/>
    <n v="3"/>
    <x v="0"/>
    <n v="4"/>
    <x v="1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  <x v="1"/>
    <x v="2"/>
    <x v="0"/>
  </r>
  <r>
    <x v="38"/>
    <x v="1"/>
    <s v="Travel_Rarely"/>
    <n v="593"/>
    <x v="1"/>
    <n v="1"/>
    <x v="2"/>
    <s v="Medical"/>
    <n v="1"/>
    <n v="482"/>
    <n v="4"/>
    <x v="1"/>
    <n v="88"/>
    <n v="3"/>
    <n v="2"/>
    <x v="4"/>
    <n v="3"/>
    <x v="1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  <x v="1"/>
    <x v="2"/>
    <x v="1"/>
  </r>
  <r>
    <x v="32"/>
    <x v="1"/>
    <s v="Travel_Rarely"/>
    <n v="1171"/>
    <x v="1"/>
    <n v="10"/>
    <x v="2"/>
    <s v="Life Sciences"/>
    <n v="1"/>
    <n v="483"/>
    <n v="4"/>
    <x v="0"/>
    <n v="46"/>
    <n v="4"/>
    <n v="1"/>
    <x v="2"/>
    <n v="3"/>
    <x v="1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  <x v="0"/>
    <x v="0"/>
    <x v="1"/>
  </r>
  <r>
    <x v="18"/>
    <x v="1"/>
    <s v="Non-Travel"/>
    <n v="895"/>
    <x v="0"/>
    <n v="9"/>
    <x v="0"/>
    <s v="Medical"/>
    <n v="1"/>
    <n v="484"/>
    <n v="1"/>
    <x v="1"/>
    <n v="39"/>
    <n v="3"/>
    <n v="1"/>
    <x v="6"/>
    <n v="4"/>
    <x v="0"/>
    <n v="2610"/>
    <n v="2851"/>
    <n v="1"/>
    <s v="Y"/>
    <s v="No"/>
    <n v="24"/>
    <n v="4"/>
    <n v="3"/>
    <n v="80"/>
    <n v="0"/>
    <n v="3"/>
    <n v="3"/>
    <n v="2"/>
    <n v="3"/>
    <n v="2"/>
    <n v="2"/>
    <n v="2"/>
    <m/>
    <x v="1"/>
    <x v="2"/>
    <x v="0"/>
  </r>
  <r>
    <x v="3"/>
    <x v="0"/>
    <s v="Travel_Rarely"/>
    <n v="350"/>
    <x v="0"/>
    <n v="5"/>
    <x v="3"/>
    <s v="Marketing"/>
    <n v="1"/>
    <n v="485"/>
    <n v="4"/>
    <x v="0"/>
    <n v="34"/>
    <n v="3"/>
    <n v="1"/>
    <x v="6"/>
    <n v="3"/>
    <x v="0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  <x v="0"/>
    <x v="3"/>
    <x v="0"/>
  </r>
  <r>
    <x v="2"/>
    <x v="1"/>
    <s v="Travel_Rarely"/>
    <n v="921"/>
    <x v="1"/>
    <n v="10"/>
    <x v="3"/>
    <s v="Medical"/>
    <n v="1"/>
    <n v="486"/>
    <n v="3"/>
    <x v="0"/>
    <n v="98"/>
    <n v="3"/>
    <n v="1"/>
    <x v="2"/>
    <n v="1"/>
    <x v="1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  <x v="0"/>
    <x v="2"/>
    <x v="1"/>
  </r>
  <r>
    <x v="21"/>
    <x v="1"/>
    <s v="Non-Travel"/>
    <n v="1144"/>
    <x v="1"/>
    <n v="7"/>
    <x v="2"/>
    <s v="Medical"/>
    <n v="1"/>
    <n v="487"/>
    <n v="3"/>
    <x v="0"/>
    <n v="30"/>
    <n v="3"/>
    <n v="2"/>
    <x v="3"/>
    <n v="3"/>
    <x v="1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  <x v="0"/>
    <x v="2"/>
    <x v="1"/>
  </r>
  <r>
    <x v="0"/>
    <x v="0"/>
    <s v="Travel_Frequently"/>
    <n v="143"/>
    <x v="0"/>
    <n v="4"/>
    <x v="3"/>
    <s v="Marketing"/>
    <n v="1"/>
    <n v="488"/>
    <n v="1"/>
    <x v="1"/>
    <n v="56"/>
    <n v="3"/>
    <n v="2"/>
    <x v="0"/>
    <n v="2"/>
    <x v="0"/>
    <n v="9355"/>
    <n v="9558"/>
    <n v="1"/>
    <s v="Y"/>
    <s v="No"/>
    <n v="18"/>
    <n v="3"/>
    <n v="3"/>
    <n v="80"/>
    <n v="0"/>
    <n v="8"/>
    <n v="5"/>
    <n v="3"/>
    <n v="8"/>
    <n v="7"/>
    <n v="7"/>
    <n v="7"/>
    <m/>
    <x v="1"/>
    <x v="3"/>
    <x v="0"/>
  </r>
  <r>
    <x v="24"/>
    <x v="1"/>
    <s v="Travel_Rarely"/>
    <n v="1046"/>
    <x v="1"/>
    <n v="10"/>
    <x v="3"/>
    <s v="Technical Degree"/>
    <n v="1"/>
    <n v="491"/>
    <n v="4"/>
    <x v="1"/>
    <n v="100"/>
    <n v="2"/>
    <n v="3"/>
    <x v="4"/>
    <n v="4"/>
    <x v="0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  <x v="1"/>
    <x v="4"/>
    <x v="1"/>
  </r>
  <r>
    <x v="32"/>
    <x v="0"/>
    <s v="Travel_Rarely"/>
    <n v="575"/>
    <x v="0"/>
    <n v="22"/>
    <x v="0"/>
    <s v="Marketing"/>
    <n v="1"/>
    <n v="492"/>
    <n v="3"/>
    <x v="1"/>
    <n v="68"/>
    <n v="2"/>
    <n v="2"/>
    <x v="0"/>
    <n v="3"/>
    <x v="1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  <x v="1"/>
    <x v="3"/>
    <x v="0"/>
  </r>
  <r>
    <x v="12"/>
    <x v="1"/>
    <s v="Travel_Rarely"/>
    <n v="408"/>
    <x v="1"/>
    <n v="9"/>
    <x v="2"/>
    <s v="Life Sciences"/>
    <n v="1"/>
    <n v="493"/>
    <n v="3"/>
    <x v="1"/>
    <n v="42"/>
    <n v="2"/>
    <n v="1"/>
    <x v="1"/>
    <n v="2"/>
    <x v="0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  <x v="1"/>
    <x v="0"/>
    <x v="1"/>
  </r>
  <r>
    <x v="18"/>
    <x v="0"/>
    <s v="Travel_Rarely"/>
    <n v="156"/>
    <x v="0"/>
    <n v="12"/>
    <x v="3"/>
    <s v="Life Sciences"/>
    <n v="1"/>
    <n v="494"/>
    <n v="3"/>
    <x v="0"/>
    <n v="90"/>
    <n v="4"/>
    <n v="1"/>
    <x v="6"/>
    <n v="2"/>
    <x v="0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  <x v="0"/>
    <x v="0"/>
    <x v="0"/>
  </r>
  <r>
    <x v="11"/>
    <x v="1"/>
    <s v="Travel_Rarely"/>
    <n v="1283"/>
    <x v="1"/>
    <n v="23"/>
    <x v="3"/>
    <s v="Life Sciences"/>
    <n v="1"/>
    <n v="495"/>
    <n v="4"/>
    <x v="1"/>
    <n v="54"/>
    <n v="3"/>
    <n v="1"/>
    <x v="1"/>
    <n v="4"/>
    <x v="0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  <x v="1"/>
    <x v="0"/>
    <x v="1"/>
  </r>
  <r>
    <x v="10"/>
    <x v="1"/>
    <s v="Travel_Rarely"/>
    <n v="755"/>
    <x v="1"/>
    <n v="9"/>
    <x v="2"/>
    <s v="Life Sciences"/>
    <n v="1"/>
    <n v="496"/>
    <n v="3"/>
    <x v="1"/>
    <n v="97"/>
    <n v="2"/>
    <n v="2"/>
    <x v="4"/>
    <n v="2"/>
    <x v="0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  <x v="1"/>
    <x v="0"/>
    <x v="1"/>
  </r>
  <r>
    <x v="4"/>
    <x v="1"/>
    <s v="Travel_Rarely"/>
    <n v="1469"/>
    <x v="1"/>
    <n v="1"/>
    <x v="0"/>
    <s v="Medical"/>
    <n v="1"/>
    <n v="497"/>
    <n v="4"/>
    <x v="1"/>
    <n v="82"/>
    <n v="3"/>
    <n v="1"/>
    <x v="2"/>
    <n v="2"/>
    <x v="2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  <x v="1"/>
    <x v="2"/>
    <x v="1"/>
  </r>
  <r>
    <x v="14"/>
    <x v="1"/>
    <s v="Travel_Rarely"/>
    <n v="304"/>
    <x v="0"/>
    <n v="9"/>
    <x v="2"/>
    <s v="Life Sciences"/>
    <n v="1"/>
    <n v="498"/>
    <n v="2"/>
    <x v="1"/>
    <n v="92"/>
    <n v="3"/>
    <n v="2"/>
    <x v="0"/>
    <n v="4"/>
    <x v="0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  <x v="1"/>
    <x v="0"/>
    <x v="0"/>
  </r>
  <r>
    <x v="1"/>
    <x v="1"/>
    <s v="Travel_Rarely"/>
    <n v="1261"/>
    <x v="1"/>
    <n v="7"/>
    <x v="3"/>
    <s v="Other"/>
    <n v="1"/>
    <n v="499"/>
    <n v="2"/>
    <x v="1"/>
    <n v="31"/>
    <n v="2"/>
    <n v="3"/>
    <x v="4"/>
    <n v="3"/>
    <x v="0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  <x v="1"/>
    <x v="1"/>
    <x v="1"/>
  </r>
  <r>
    <x v="31"/>
    <x v="1"/>
    <s v="Travel_Rarely"/>
    <n v="1178"/>
    <x v="0"/>
    <n v="14"/>
    <x v="0"/>
    <s v="Life Sciences"/>
    <n v="1"/>
    <n v="500"/>
    <n v="3"/>
    <x v="0"/>
    <n v="87"/>
    <n v="3"/>
    <n v="2"/>
    <x v="0"/>
    <n v="4"/>
    <x v="1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  <x v="0"/>
    <x v="0"/>
    <x v="0"/>
  </r>
  <r>
    <x v="9"/>
    <x v="1"/>
    <s v="Travel_Rarely"/>
    <n v="329"/>
    <x v="1"/>
    <n v="2"/>
    <x v="3"/>
    <s v="Life Sciences"/>
    <n v="1"/>
    <n v="501"/>
    <n v="4"/>
    <x v="0"/>
    <n v="96"/>
    <n v="3"/>
    <n v="1"/>
    <x v="1"/>
    <n v="3"/>
    <x v="1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  <x v="0"/>
    <x v="0"/>
    <x v="1"/>
  </r>
  <r>
    <x v="13"/>
    <x v="0"/>
    <s v="Non-Travel"/>
    <n v="1362"/>
    <x v="0"/>
    <n v="19"/>
    <x v="3"/>
    <s v="Marketing"/>
    <n v="1"/>
    <n v="502"/>
    <n v="1"/>
    <x v="1"/>
    <n v="67"/>
    <n v="4"/>
    <n v="2"/>
    <x v="0"/>
    <n v="4"/>
    <x v="0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  <x v="1"/>
    <x v="3"/>
    <x v="0"/>
  </r>
  <r>
    <x v="27"/>
    <x v="1"/>
    <s v="Travel_Rarely"/>
    <n v="1311"/>
    <x v="1"/>
    <n v="2"/>
    <x v="3"/>
    <s v="Life Sciences"/>
    <n v="1"/>
    <n v="505"/>
    <n v="3"/>
    <x v="0"/>
    <n v="97"/>
    <n v="3"/>
    <n v="4"/>
    <x v="5"/>
    <n v="4"/>
    <x v="0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  <x v="0"/>
    <x v="0"/>
    <x v="1"/>
  </r>
  <r>
    <x v="17"/>
    <x v="1"/>
    <s v="Travel_Rarely"/>
    <n v="1371"/>
    <x v="0"/>
    <n v="10"/>
    <x v="2"/>
    <s v="Marketing"/>
    <n v="1"/>
    <n v="507"/>
    <n v="4"/>
    <x v="0"/>
    <n v="77"/>
    <n v="3"/>
    <n v="2"/>
    <x v="0"/>
    <n v="3"/>
    <x v="2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  <x v="0"/>
    <x v="3"/>
    <x v="0"/>
  </r>
  <r>
    <x v="7"/>
    <x v="1"/>
    <s v="Travel_Rarely"/>
    <n v="202"/>
    <x v="0"/>
    <n v="2"/>
    <x v="1"/>
    <s v="Technical Degree"/>
    <n v="1"/>
    <n v="508"/>
    <n v="3"/>
    <x v="1"/>
    <n v="72"/>
    <n v="3"/>
    <n v="1"/>
    <x v="6"/>
    <n v="2"/>
    <x v="1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  <x v="1"/>
    <x v="4"/>
    <x v="0"/>
  </r>
  <r>
    <x v="25"/>
    <x v="0"/>
    <s v="Travel_Frequently"/>
    <n v="575"/>
    <x v="1"/>
    <n v="3"/>
    <x v="1"/>
    <s v="Technical Degree"/>
    <n v="1"/>
    <n v="510"/>
    <n v="3"/>
    <x v="1"/>
    <n v="73"/>
    <n v="3"/>
    <n v="1"/>
    <x v="1"/>
    <n v="1"/>
    <x v="0"/>
    <n v="3102"/>
    <n v="6582"/>
    <n v="0"/>
    <s v="Y"/>
    <s v="No"/>
    <n v="22"/>
    <n v="4"/>
    <n v="3"/>
    <n v="80"/>
    <n v="0"/>
    <n v="7"/>
    <n v="2"/>
    <n v="3"/>
    <n v="6"/>
    <n v="4"/>
    <n v="0"/>
    <n v="4"/>
    <m/>
    <x v="1"/>
    <x v="4"/>
    <x v="1"/>
  </r>
  <r>
    <x v="15"/>
    <x v="1"/>
    <s v="Travel_Rarely"/>
    <n v="253"/>
    <x v="1"/>
    <n v="11"/>
    <x v="3"/>
    <s v="Medical"/>
    <n v="1"/>
    <n v="511"/>
    <n v="1"/>
    <x v="0"/>
    <n v="43"/>
    <n v="3"/>
    <n v="1"/>
    <x v="1"/>
    <n v="2"/>
    <x v="1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  <x v="0"/>
    <x v="2"/>
    <x v="1"/>
  </r>
  <r>
    <x v="9"/>
    <x v="1"/>
    <s v="Travel_Rarely"/>
    <n v="164"/>
    <x v="0"/>
    <n v="2"/>
    <x v="0"/>
    <s v="Medical"/>
    <n v="1"/>
    <n v="513"/>
    <n v="2"/>
    <x v="1"/>
    <n v="61"/>
    <n v="2"/>
    <n v="3"/>
    <x v="0"/>
    <n v="3"/>
    <x v="1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  <x v="1"/>
    <x v="2"/>
    <x v="0"/>
  </r>
  <r>
    <x v="7"/>
    <x v="0"/>
    <s v="Travel_Frequently"/>
    <n v="464"/>
    <x v="1"/>
    <n v="4"/>
    <x v="3"/>
    <s v="Technical Degree"/>
    <n v="1"/>
    <n v="514"/>
    <n v="3"/>
    <x v="1"/>
    <n v="40"/>
    <n v="3"/>
    <n v="1"/>
    <x v="1"/>
    <n v="4"/>
    <x v="0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  <x v="1"/>
    <x v="4"/>
    <x v="1"/>
  </r>
  <r>
    <x v="2"/>
    <x v="1"/>
    <s v="Travel_Rarely"/>
    <n v="1107"/>
    <x v="1"/>
    <n v="14"/>
    <x v="3"/>
    <s v="Life Sciences"/>
    <n v="1"/>
    <n v="515"/>
    <n v="4"/>
    <x v="0"/>
    <n v="95"/>
    <n v="3"/>
    <n v="1"/>
    <x v="2"/>
    <n v="1"/>
    <x v="2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  <x v="0"/>
    <x v="0"/>
    <x v="1"/>
  </r>
  <r>
    <x v="32"/>
    <x v="1"/>
    <s v="Travel_Rarely"/>
    <n v="759"/>
    <x v="0"/>
    <n v="2"/>
    <x v="0"/>
    <s v="Marketing"/>
    <n v="1"/>
    <n v="516"/>
    <n v="4"/>
    <x v="0"/>
    <n v="46"/>
    <n v="3"/>
    <n v="2"/>
    <x v="0"/>
    <n v="2"/>
    <x v="2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  <x v="0"/>
    <x v="3"/>
    <x v="0"/>
  </r>
  <r>
    <x v="19"/>
    <x v="1"/>
    <s v="Travel_Rarely"/>
    <n v="201"/>
    <x v="1"/>
    <n v="1"/>
    <x v="2"/>
    <s v="Life Sciences"/>
    <n v="1"/>
    <n v="517"/>
    <n v="2"/>
    <x v="0"/>
    <n v="95"/>
    <n v="3"/>
    <n v="1"/>
    <x v="2"/>
    <n v="1"/>
    <x v="2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  <x v="0"/>
    <x v="0"/>
    <x v="1"/>
  </r>
  <r>
    <x v="2"/>
    <x v="1"/>
    <s v="Travel_Rarely"/>
    <n v="1305"/>
    <x v="1"/>
    <n v="10"/>
    <x v="2"/>
    <s v="Life Sciences"/>
    <n v="1"/>
    <n v="518"/>
    <n v="3"/>
    <x v="1"/>
    <n v="49"/>
    <n v="3"/>
    <n v="2"/>
    <x v="3"/>
    <n v="2"/>
    <x v="0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  <x v="1"/>
    <x v="0"/>
    <x v="1"/>
  </r>
  <r>
    <x v="23"/>
    <x v="1"/>
    <s v="Travel_Rarely"/>
    <n v="982"/>
    <x v="1"/>
    <n v="12"/>
    <x v="3"/>
    <s v="Life Sciences"/>
    <n v="1"/>
    <n v="520"/>
    <n v="1"/>
    <x v="1"/>
    <n v="59"/>
    <n v="2"/>
    <n v="4"/>
    <x v="7"/>
    <n v="2"/>
    <x v="2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  <x v="1"/>
    <x v="0"/>
    <x v="1"/>
  </r>
  <r>
    <x v="32"/>
    <x v="1"/>
    <s v="Travel_Rarely"/>
    <n v="555"/>
    <x v="1"/>
    <n v="2"/>
    <x v="3"/>
    <s v="Medical"/>
    <n v="1"/>
    <n v="521"/>
    <n v="2"/>
    <x v="0"/>
    <n v="78"/>
    <n v="2"/>
    <n v="2"/>
    <x v="2"/>
    <n v="3"/>
    <x v="1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  <x v="0"/>
    <x v="2"/>
    <x v="1"/>
  </r>
  <r>
    <x v="33"/>
    <x v="1"/>
    <s v="Travel_Rarely"/>
    <n v="821"/>
    <x v="1"/>
    <n v="5"/>
    <x v="0"/>
    <s v="Medical"/>
    <n v="1"/>
    <n v="522"/>
    <n v="1"/>
    <x v="1"/>
    <n v="86"/>
    <n v="3"/>
    <n v="5"/>
    <x v="7"/>
    <n v="1"/>
    <x v="1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  <x v="1"/>
    <x v="2"/>
    <x v="1"/>
  </r>
  <r>
    <x v="13"/>
    <x v="1"/>
    <s v="Non-Travel"/>
    <n v="1381"/>
    <x v="0"/>
    <n v="4"/>
    <x v="2"/>
    <s v="Marketing"/>
    <n v="1"/>
    <n v="523"/>
    <n v="3"/>
    <x v="0"/>
    <n v="72"/>
    <n v="3"/>
    <n v="2"/>
    <x v="0"/>
    <n v="3"/>
    <x v="1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  <x v="0"/>
    <x v="3"/>
    <x v="0"/>
  </r>
  <r>
    <x v="12"/>
    <x v="1"/>
    <s v="Travel_Rarely"/>
    <n v="480"/>
    <x v="1"/>
    <n v="7"/>
    <x v="0"/>
    <s v="Medical"/>
    <n v="1"/>
    <n v="524"/>
    <n v="2"/>
    <x v="0"/>
    <n v="31"/>
    <n v="3"/>
    <n v="2"/>
    <x v="3"/>
    <n v="1"/>
    <x v="1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  <x v="0"/>
    <x v="2"/>
    <x v="1"/>
  </r>
  <r>
    <x v="23"/>
    <x v="1"/>
    <s v="Travel_Frequently"/>
    <n v="313"/>
    <x v="1"/>
    <n v="21"/>
    <x v="3"/>
    <s v="Medical"/>
    <n v="1"/>
    <n v="525"/>
    <n v="4"/>
    <x v="1"/>
    <n v="61"/>
    <n v="3"/>
    <n v="1"/>
    <x v="2"/>
    <n v="4"/>
    <x v="1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  <x v="1"/>
    <x v="2"/>
    <x v="1"/>
  </r>
  <r>
    <x v="23"/>
    <x v="1"/>
    <s v="Travel_Rarely"/>
    <n v="1473"/>
    <x v="1"/>
    <n v="8"/>
    <x v="2"/>
    <s v="Other"/>
    <n v="1"/>
    <n v="526"/>
    <n v="3"/>
    <x v="0"/>
    <n v="74"/>
    <n v="3"/>
    <n v="2"/>
    <x v="4"/>
    <n v="3"/>
    <x v="2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  <x v="0"/>
    <x v="1"/>
    <x v="1"/>
  </r>
  <r>
    <x v="36"/>
    <x v="1"/>
    <s v="Travel_Rarely"/>
    <n v="891"/>
    <x v="0"/>
    <n v="4"/>
    <x v="0"/>
    <s v="Life Sciences"/>
    <n v="1"/>
    <n v="527"/>
    <n v="2"/>
    <x v="0"/>
    <n v="99"/>
    <n v="2"/>
    <n v="2"/>
    <x v="0"/>
    <n v="4"/>
    <x v="0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  <x v="0"/>
    <x v="0"/>
    <x v="0"/>
  </r>
  <r>
    <x v="2"/>
    <x v="1"/>
    <s v="Non-Travel"/>
    <n v="1063"/>
    <x v="1"/>
    <n v="25"/>
    <x v="4"/>
    <s v="Medical"/>
    <n v="1"/>
    <n v="529"/>
    <n v="2"/>
    <x v="0"/>
    <n v="72"/>
    <n v="3"/>
    <n v="2"/>
    <x v="1"/>
    <n v="3"/>
    <x v="1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  <x v="0"/>
    <x v="2"/>
    <x v="1"/>
  </r>
  <r>
    <x v="12"/>
    <x v="1"/>
    <s v="Travel_Rarely"/>
    <n v="329"/>
    <x v="1"/>
    <n v="1"/>
    <x v="0"/>
    <s v="Life Sciences"/>
    <n v="1"/>
    <n v="530"/>
    <n v="4"/>
    <x v="1"/>
    <n v="98"/>
    <n v="2"/>
    <n v="1"/>
    <x v="2"/>
    <n v="1"/>
    <x v="1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  <x v="1"/>
    <x v="0"/>
    <x v="1"/>
  </r>
  <r>
    <x v="22"/>
    <x v="1"/>
    <s v="Travel_Frequently"/>
    <n v="1218"/>
    <x v="1"/>
    <n v="1"/>
    <x v="1"/>
    <s v="Life Sciences"/>
    <n v="1"/>
    <n v="531"/>
    <n v="2"/>
    <x v="1"/>
    <n v="52"/>
    <n v="3"/>
    <n v="5"/>
    <x v="5"/>
    <n v="3"/>
    <x v="2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  <x v="1"/>
    <x v="0"/>
    <x v="1"/>
  </r>
  <r>
    <x v="29"/>
    <x v="1"/>
    <s v="Travel_Frequently"/>
    <n v="906"/>
    <x v="0"/>
    <n v="6"/>
    <x v="3"/>
    <s v="Life Sciences"/>
    <n v="1"/>
    <n v="532"/>
    <n v="3"/>
    <x v="0"/>
    <n v="86"/>
    <n v="4"/>
    <n v="4"/>
    <x v="0"/>
    <n v="1"/>
    <x v="1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  <x v="0"/>
    <x v="0"/>
    <x v="0"/>
  </r>
  <r>
    <x v="7"/>
    <x v="1"/>
    <s v="Travel_Rarely"/>
    <n v="1082"/>
    <x v="0"/>
    <n v="12"/>
    <x v="3"/>
    <s v="Technical Degree"/>
    <n v="1"/>
    <n v="533"/>
    <n v="2"/>
    <x v="0"/>
    <n v="83"/>
    <n v="3"/>
    <n v="2"/>
    <x v="0"/>
    <n v="3"/>
    <x v="0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  <x v="0"/>
    <x v="4"/>
    <x v="0"/>
  </r>
  <r>
    <x v="0"/>
    <x v="1"/>
    <s v="Travel_Rarely"/>
    <n v="645"/>
    <x v="0"/>
    <n v="1"/>
    <x v="3"/>
    <s v="Marketing"/>
    <n v="1"/>
    <n v="534"/>
    <n v="2"/>
    <x v="1"/>
    <n v="49"/>
    <n v="4"/>
    <n v="3"/>
    <x v="0"/>
    <n v="1"/>
    <x v="1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  <x v="1"/>
    <x v="3"/>
    <x v="0"/>
  </r>
  <r>
    <x v="14"/>
    <x v="1"/>
    <s v="Travel_Rarely"/>
    <n v="1300"/>
    <x v="1"/>
    <n v="17"/>
    <x v="0"/>
    <s v="Medical"/>
    <n v="1"/>
    <n v="536"/>
    <n v="3"/>
    <x v="1"/>
    <n v="79"/>
    <n v="3"/>
    <n v="2"/>
    <x v="2"/>
    <n v="1"/>
    <x v="2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  <x v="1"/>
    <x v="2"/>
    <x v="1"/>
  </r>
  <r>
    <x v="36"/>
    <x v="0"/>
    <s v="Travel_Rarely"/>
    <n v="688"/>
    <x v="1"/>
    <n v="3"/>
    <x v="3"/>
    <s v="Medical"/>
    <n v="1"/>
    <n v="538"/>
    <n v="1"/>
    <x v="1"/>
    <n v="91"/>
    <n v="3"/>
    <n v="1"/>
    <x v="2"/>
    <n v="1"/>
    <x v="1"/>
    <n v="4031"/>
    <n v="9396"/>
    <n v="5"/>
    <s v="Y"/>
    <s v="No"/>
    <n v="13"/>
    <n v="3"/>
    <n v="3"/>
    <n v="80"/>
    <n v="1"/>
    <n v="6"/>
    <n v="5"/>
    <n v="3"/>
    <n v="2"/>
    <n v="2"/>
    <n v="0"/>
    <n v="2"/>
    <m/>
    <x v="1"/>
    <x v="2"/>
    <x v="1"/>
  </r>
  <r>
    <x v="39"/>
    <x v="1"/>
    <s v="Travel_Rarely"/>
    <n v="319"/>
    <x v="1"/>
    <n v="3"/>
    <x v="3"/>
    <s v="Medical"/>
    <n v="1"/>
    <n v="543"/>
    <n v="4"/>
    <x v="1"/>
    <n v="39"/>
    <n v="2"/>
    <n v="3"/>
    <x v="3"/>
    <n v="3"/>
    <x v="1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  <x v="1"/>
    <x v="2"/>
    <x v="1"/>
  </r>
  <r>
    <x v="28"/>
    <x v="1"/>
    <s v="Travel_Rarely"/>
    <n v="192"/>
    <x v="1"/>
    <n v="10"/>
    <x v="0"/>
    <s v="Life Sciences"/>
    <n v="1"/>
    <n v="544"/>
    <n v="1"/>
    <x v="1"/>
    <n v="69"/>
    <n v="3"/>
    <n v="1"/>
    <x v="1"/>
    <n v="4"/>
    <x v="1"/>
    <n v="2654"/>
    <n v="9655"/>
    <n v="3"/>
    <s v="Y"/>
    <s v="No"/>
    <n v="21"/>
    <n v="4"/>
    <n v="4"/>
    <n v="80"/>
    <n v="2"/>
    <n v="8"/>
    <n v="3"/>
    <n v="2"/>
    <n v="2"/>
    <n v="2"/>
    <n v="0"/>
    <n v="2"/>
    <m/>
    <x v="1"/>
    <x v="0"/>
    <x v="1"/>
  </r>
  <r>
    <x v="39"/>
    <x v="1"/>
    <s v="Travel_Rarely"/>
    <n v="1490"/>
    <x v="1"/>
    <n v="4"/>
    <x v="0"/>
    <s v="Life Sciences"/>
    <n v="1"/>
    <n v="546"/>
    <n v="4"/>
    <x v="0"/>
    <n v="30"/>
    <n v="3"/>
    <n v="4"/>
    <x v="5"/>
    <n v="4"/>
    <x v="1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  <x v="0"/>
    <x v="0"/>
    <x v="1"/>
  </r>
  <r>
    <x v="19"/>
    <x v="1"/>
    <s v="Travel_Frequently"/>
    <n v="532"/>
    <x v="1"/>
    <n v="29"/>
    <x v="0"/>
    <s v="Life Sciences"/>
    <n v="1"/>
    <n v="547"/>
    <n v="1"/>
    <x v="0"/>
    <n v="92"/>
    <n v="3"/>
    <n v="2"/>
    <x v="1"/>
    <n v="3"/>
    <x v="2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  <x v="0"/>
    <x v="0"/>
    <x v="1"/>
  </r>
  <r>
    <x v="7"/>
    <x v="1"/>
    <s v="Travel_Rarely"/>
    <n v="317"/>
    <x v="1"/>
    <n v="2"/>
    <x v="3"/>
    <s v="Life Sciences"/>
    <n v="1"/>
    <n v="548"/>
    <n v="3"/>
    <x v="0"/>
    <n v="43"/>
    <n v="1"/>
    <n v="2"/>
    <x v="3"/>
    <n v="4"/>
    <x v="0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  <x v="0"/>
    <x v="0"/>
    <x v="1"/>
  </r>
  <r>
    <x v="42"/>
    <x v="1"/>
    <s v="Travel_Rarely"/>
    <n v="422"/>
    <x v="1"/>
    <n v="7"/>
    <x v="3"/>
    <s v="Life Sciences"/>
    <n v="1"/>
    <n v="549"/>
    <n v="1"/>
    <x v="0"/>
    <n v="41"/>
    <n v="3"/>
    <n v="5"/>
    <x v="5"/>
    <n v="1"/>
    <x v="1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  <x v="0"/>
    <x v="0"/>
    <x v="1"/>
  </r>
  <r>
    <x v="21"/>
    <x v="1"/>
    <s v="Travel_Rarely"/>
    <n v="1485"/>
    <x v="1"/>
    <n v="18"/>
    <x v="3"/>
    <s v="Medical"/>
    <n v="1"/>
    <n v="550"/>
    <n v="3"/>
    <x v="0"/>
    <n v="87"/>
    <n v="3"/>
    <n v="2"/>
    <x v="3"/>
    <n v="3"/>
    <x v="2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  <x v="0"/>
    <x v="2"/>
    <x v="1"/>
  </r>
  <r>
    <x v="19"/>
    <x v="1"/>
    <s v="Travel_Frequently"/>
    <n v="1368"/>
    <x v="1"/>
    <n v="28"/>
    <x v="2"/>
    <s v="Technical Degree"/>
    <n v="1"/>
    <n v="551"/>
    <n v="4"/>
    <x v="0"/>
    <n v="88"/>
    <n v="2"/>
    <n v="2"/>
    <x v="4"/>
    <n v="4"/>
    <x v="1"/>
    <n v="4523"/>
    <n v="4386"/>
    <n v="0"/>
    <s v="Y"/>
    <s v="No"/>
    <n v="11"/>
    <n v="3"/>
    <n v="4"/>
    <n v="80"/>
    <n v="3"/>
    <n v="7"/>
    <n v="4"/>
    <n v="4"/>
    <n v="6"/>
    <n v="5"/>
    <n v="0"/>
    <n v="4"/>
    <m/>
    <x v="0"/>
    <x v="4"/>
    <x v="1"/>
  </r>
  <r>
    <x v="17"/>
    <x v="0"/>
    <s v="Travel_Rarely"/>
    <n v="1448"/>
    <x v="0"/>
    <n v="1"/>
    <x v="1"/>
    <s v="Technical Degree"/>
    <n v="1"/>
    <n v="554"/>
    <n v="1"/>
    <x v="0"/>
    <n v="62"/>
    <n v="3"/>
    <n v="1"/>
    <x v="6"/>
    <n v="2"/>
    <x v="0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  <x v="0"/>
    <x v="4"/>
    <x v="0"/>
  </r>
  <r>
    <x v="13"/>
    <x v="0"/>
    <s v="Travel_Frequently"/>
    <n v="296"/>
    <x v="0"/>
    <n v="6"/>
    <x v="0"/>
    <s v="Marketing"/>
    <n v="1"/>
    <n v="555"/>
    <n v="4"/>
    <x v="0"/>
    <n v="33"/>
    <n v="1"/>
    <n v="1"/>
    <x v="6"/>
    <n v="3"/>
    <x v="2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  <x v="0"/>
    <x v="3"/>
    <x v="0"/>
  </r>
  <r>
    <x v="8"/>
    <x v="1"/>
    <s v="Travel_Frequently"/>
    <n v="1490"/>
    <x v="1"/>
    <n v="2"/>
    <x v="0"/>
    <s v="Life Sciences"/>
    <n v="1"/>
    <n v="556"/>
    <n v="4"/>
    <x v="1"/>
    <n v="42"/>
    <n v="3"/>
    <n v="1"/>
    <x v="2"/>
    <n v="4"/>
    <x v="1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  <x v="1"/>
    <x v="0"/>
    <x v="1"/>
  </r>
  <r>
    <x v="32"/>
    <x v="1"/>
    <s v="Travel_Rarely"/>
    <n v="1398"/>
    <x v="0"/>
    <n v="2"/>
    <x v="2"/>
    <s v="Life Sciences"/>
    <n v="1"/>
    <n v="558"/>
    <n v="3"/>
    <x v="0"/>
    <n v="79"/>
    <n v="3"/>
    <n v="5"/>
    <x v="5"/>
    <n v="3"/>
    <x v="1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  <x v="0"/>
    <x v="0"/>
    <x v="0"/>
  </r>
  <r>
    <x v="25"/>
    <x v="1"/>
    <s v="Travel_Rarely"/>
    <n v="1349"/>
    <x v="1"/>
    <n v="23"/>
    <x v="3"/>
    <s v="Life Sciences"/>
    <n v="1"/>
    <n v="560"/>
    <n v="1"/>
    <x v="0"/>
    <n v="90"/>
    <n v="3"/>
    <n v="1"/>
    <x v="1"/>
    <n v="4"/>
    <x v="2"/>
    <n v="2886"/>
    <n v="3032"/>
    <n v="1"/>
    <s v="Y"/>
    <s v="No"/>
    <n v="22"/>
    <n v="4"/>
    <n v="2"/>
    <n v="80"/>
    <n v="2"/>
    <n v="3"/>
    <n v="3"/>
    <n v="1"/>
    <n v="3"/>
    <n v="2"/>
    <n v="0"/>
    <n v="2"/>
    <m/>
    <x v="0"/>
    <x v="0"/>
    <x v="1"/>
  </r>
  <r>
    <x v="7"/>
    <x v="1"/>
    <s v="Non-Travel"/>
    <n v="1400"/>
    <x v="1"/>
    <n v="3"/>
    <x v="3"/>
    <s v="Life Sciences"/>
    <n v="1"/>
    <n v="562"/>
    <n v="3"/>
    <x v="1"/>
    <n v="53"/>
    <n v="3"/>
    <n v="1"/>
    <x v="2"/>
    <n v="4"/>
    <x v="1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  <x v="1"/>
    <x v="0"/>
    <x v="1"/>
  </r>
  <r>
    <x v="11"/>
    <x v="1"/>
    <s v="Travel_Rarely"/>
    <n v="986"/>
    <x v="1"/>
    <n v="3"/>
    <x v="2"/>
    <s v="Medical"/>
    <n v="1"/>
    <n v="564"/>
    <n v="2"/>
    <x v="1"/>
    <n v="93"/>
    <n v="2"/>
    <n v="3"/>
    <x v="7"/>
    <n v="3"/>
    <x v="1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  <x v="1"/>
    <x v="2"/>
    <x v="1"/>
  </r>
  <r>
    <x v="11"/>
    <x v="0"/>
    <s v="Travel_Rarely"/>
    <n v="408"/>
    <x v="1"/>
    <n v="25"/>
    <x v="4"/>
    <s v="Technical Degree"/>
    <n v="1"/>
    <n v="565"/>
    <n v="3"/>
    <x v="0"/>
    <n v="71"/>
    <n v="2"/>
    <n v="1"/>
    <x v="1"/>
    <n v="2"/>
    <x v="1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  <x v="0"/>
    <x v="4"/>
    <x v="1"/>
  </r>
  <r>
    <x v="37"/>
    <x v="0"/>
    <s v="Travel_Rarely"/>
    <n v="489"/>
    <x v="2"/>
    <n v="2"/>
    <x v="0"/>
    <s v="Technical Degree"/>
    <n v="1"/>
    <n v="566"/>
    <n v="1"/>
    <x v="1"/>
    <n v="52"/>
    <n v="2"/>
    <n v="1"/>
    <x v="8"/>
    <n v="4"/>
    <x v="0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  <x v="1"/>
    <x v="4"/>
    <x v="2"/>
  </r>
  <r>
    <x v="7"/>
    <x v="1"/>
    <s v="Non-Travel"/>
    <n v="1398"/>
    <x v="0"/>
    <n v="22"/>
    <x v="2"/>
    <s v="Other"/>
    <n v="1"/>
    <n v="567"/>
    <n v="3"/>
    <x v="0"/>
    <n v="69"/>
    <n v="3"/>
    <n v="3"/>
    <x v="0"/>
    <n v="1"/>
    <x v="1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  <x v="0"/>
    <x v="1"/>
    <x v="0"/>
  </r>
  <r>
    <x v="38"/>
    <x v="1"/>
    <s v="Travel_Rarely"/>
    <n v="210"/>
    <x v="0"/>
    <n v="29"/>
    <x v="3"/>
    <s v="Marketing"/>
    <n v="1"/>
    <n v="568"/>
    <n v="1"/>
    <x v="1"/>
    <n v="56"/>
    <n v="2"/>
    <n v="4"/>
    <x v="5"/>
    <n v="4"/>
    <x v="2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  <x v="1"/>
    <x v="3"/>
    <x v="0"/>
  </r>
  <r>
    <x v="24"/>
    <x v="1"/>
    <s v="Travel_Rarely"/>
    <n v="1099"/>
    <x v="1"/>
    <n v="29"/>
    <x v="2"/>
    <s v="Life Sciences"/>
    <n v="1"/>
    <n v="569"/>
    <n v="2"/>
    <x v="1"/>
    <n v="88"/>
    <n v="2"/>
    <n v="4"/>
    <x v="5"/>
    <n v="3"/>
    <x v="1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  <x v="1"/>
    <x v="0"/>
    <x v="1"/>
  </r>
  <r>
    <x v="7"/>
    <x v="1"/>
    <s v="Non-Travel"/>
    <n v="1116"/>
    <x v="1"/>
    <n v="2"/>
    <x v="3"/>
    <s v="Medical"/>
    <n v="1"/>
    <n v="571"/>
    <n v="3"/>
    <x v="0"/>
    <n v="49"/>
    <n v="3"/>
    <n v="1"/>
    <x v="2"/>
    <n v="4"/>
    <x v="0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  <x v="0"/>
    <x v="2"/>
    <x v="1"/>
  </r>
  <r>
    <x v="42"/>
    <x v="1"/>
    <s v="Travel_Frequently"/>
    <n v="1499"/>
    <x v="0"/>
    <n v="28"/>
    <x v="3"/>
    <s v="Marketing"/>
    <n v="1"/>
    <n v="573"/>
    <n v="3"/>
    <x v="0"/>
    <n v="80"/>
    <n v="2"/>
    <n v="3"/>
    <x v="0"/>
    <n v="1"/>
    <x v="1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  <x v="0"/>
    <x v="3"/>
    <x v="0"/>
  </r>
  <r>
    <x v="40"/>
    <x v="1"/>
    <s v="Travel_Rarely"/>
    <n v="983"/>
    <x v="1"/>
    <n v="2"/>
    <x v="0"/>
    <s v="Medical"/>
    <n v="1"/>
    <n v="574"/>
    <n v="1"/>
    <x v="0"/>
    <n v="65"/>
    <n v="3"/>
    <n v="2"/>
    <x v="3"/>
    <n v="4"/>
    <x v="2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  <x v="0"/>
    <x v="2"/>
    <x v="1"/>
  </r>
  <r>
    <x v="21"/>
    <x v="1"/>
    <s v="Travel_Rarely"/>
    <n v="1009"/>
    <x v="1"/>
    <n v="2"/>
    <x v="3"/>
    <s v="Life Sciences"/>
    <n v="1"/>
    <n v="575"/>
    <n v="1"/>
    <x v="1"/>
    <n v="51"/>
    <n v="3"/>
    <n v="4"/>
    <x v="7"/>
    <n v="3"/>
    <x v="1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  <x v="1"/>
    <x v="0"/>
    <x v="1"/>
  </r>
  <r>
    <x v="10"/>
    <x v="1"/>
    <s v="Travel_Rarely"/>
    <n v="144"/>
    <x v="1"/>
    <n v="22"/>
    <x v="3"/>
    <s v="Life Sciences"/>
    <n v="1"/>
    <n v="577"/>
    <n v="4"/>
    <x v="1"/>
    <n v="46"/>
    <n v="1"/>
    <n v="1"/>
    <x v="2"/>
    <n v="3"/>
    <x v="0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  <x v="1"/>
    <x v="0"/>
    <x v="1"/>
  </r>
  <r>
    <x v="33"/>
    <x v="1"/>
    <s v="Travel_Rarely"/>
    <n v="548"/>
    <x v="1"/>
    <n v="8"/>
    <x v="2"/>
    <s v="Life Sciences"/>
    <n v="1"/>
    <n v="578"/>
    <n v="3"/>
    <x v="0"/>
    <n v="42"/>
    <n v="3"/>
    <n v="2"/>
    <x v="2"/>
    <n v="3"/>
    <x v="0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  <x v="0"/>
    <x v="0"/>
    <x v="1"/>
  </r>
  <r>
    <x v="13"/>
    <x v="1"/>
    <s v="Travel_Rarely"/>
    <n v="1303"/>
    <x v="1"/>
    <n v="2"/>
    <x v="2"/>
    <s v="Life Sciences"/>
    <n v="1"/>
    <n v="579"/>
    <n v="4"/>
    <x v="1"/>
    <n v="62"/>
    <n v="2"/>
    <n v="1"/>
    <x v="1"/>
    <n v="3"/>
    <x v="2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  <x v="1"/>
    <x v="0"/>
    <x v="1"/>
  </r>
  <r>
    <x v="21"/>
    <x v="1"/>
    <s v="Travel_Rarely"/>
    <n v="1125"/>
    <x v="0"/>
    <n v="10"/>
    <x v="3"/>
    <s v="Marketing"/>
    <n v="1"/>
    <n v="580"/>
    <n v="3"/>
    <x v="0"/>
    <n v="94"/>
    <n v="2"/>
    <n v="3"/>
    <x v="0"/>
    <n v="4"/>
    <x v="1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  <x v="0"/>
    <x v="3"/>
    <x v="0"/>
  </r>
  <r>
    <x v="12"/>
    <x v="1"/>
    <s v="Travel_Rarely"/>
    <n v="1274"/>
    <x v="1"/>
    <n v="9"/>
    <x v="1"/>
    <s v="Life Sciences"/>
    <n v="1"/>
    <n v="581"/>
    <n v="3"/>
    <x v="1"/>
    <n v="33"/>
    <n v="3"/>
    <n v="3"/>
    <x v="3"/>
    <n v="2"/>
    <x v="2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  <x v="1"/>
    <x v="0"/>
    <x v="1"/>
  </r>
  <r>
    <x v="3"/>
    <x v="0"/>
    <s v="Travel_Rarely"/>
    <n v="1277"/>
    <x v="1"/>
    <n v="15"/>
    <x v="1"/>
    <s v="Medical"/>
    <n v="1"/>
    <n v="582"/>
    <n v="2"/>
    <x v="1"/>
    <n v="56"/>
    <n v="3"/>
    <n v="3"/>
    <x v="5"/>
    <n v="3"/>
    <x v="1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  <x v="1"/>
    <x v="2"/>
    <x v="1"/>
  </r>
  <r>
    <x v="3"/>
    <x v="0"/>
    <s v="Travel_Rarely"/>
    <n v="587"/>
    <x v="1"/>
    <n v="10"/>
    <x v="1"/>
    <s v="Medical"/>
    <n v="1"/>
    <n v="584"/>
    <n v="1"/>
    <x v="1"/>
    <n v="38"/>
    <n v="1"/>
    <n v="1"/>
    <x v="2"/>
    <n v="4"/>
    <x v="2"/>
    <n v="3408"/>
    <n v="6705"/>
    <n v="7"/>
    <s v="Y"/>
    <s v="No"/>
    <n v="13"/>
    <n v="3"/>
    <n v="1"/>
    <n v="80"/>
    <n v="3"/>
    <n v="8"/>
    <n v="2"/>
    <n v="3"/>
    <n v="4"/>
    <n v="3"/>
    <n v="1"/>
    <n v="3"/>
    <m/>
    <x v="1"/>
    <x v="2"/>
    <x v="1"/>
  </r>
  <r>
    <x v="7"/>
    <x v="1"/>
    <s v="Travel_Rarely"/>
    <n v="413"/>
    <x v="0"/>
    <n v="7"/>
    <x v="1"/>
    <s v="Marketing"/>
    <n v="1"/>
    <n v="585"/>
    <n v="4"/>
    <x v="1"/>
    <n v="57"/>
    <n v="3"/>
    <n v="1"/>
    <x v="6"/>
    <n v="2"/>
    <x v="0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  <x v="1"/>
    <x v="3"/>
    <x v="0"/>
  </r>
  <r>
    <x v="10"/>
    <x v="1"/>
    <s v="Travel_Rarely"/>
    <n v="1276"/>
    <x v="1"/>
    <n v="16"/>
    <x v="3"/>
    <s v="Life Sciences"/>
    <n v="1"/>
    <n v="586"/>
    <n v="4"/>
    <x v="1"/>
    <n v="72"/>
    <n v="3"/>
    <n v="3"/>
    <x v="4"/>
    <n v="3"/>
    <x v="1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  <x v="1"/>
    <x v="0"/>
    <x v="1"/>
  </r>
  <r>
    <x v="12"/>
    <x v="0"/>
    <s v="Travel_Frequently"/>
    <n v="534"/>
    <x v="1"/>
    <n v="20"/>
    <x v="3"/>
    <s v="Life Sciences"/>
    <n v="1"/>
    <n v="587"/>
    <n v="1"/>
    <x v="1"/>
    <n v="66"/>
    <n v="3"/>
    <n v="3"/>
    <x v="4"/>
    <n v="3"/>
    <x v="1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  <x v="1"/>
    <x v="0"/>
    <x v="1"/>
  </r>
  <r>
    <x v="13"/>
    <x v="0"/>
    <s v="Travel_Frequently"/>
    <n v="988"/>
    <x v="2"/>
    <n v="23"/>
    <x v="3"/>
    <s v="Human Resources"/>
    <n v="1"/>
    <n v="590"/>
    <n v="2"/>
    <x v="0"/>
    <n v="43"/>
    <n v="3"/>
    <n v="3"/>
    <x v="8"/>
    <n v="1"/>
    <x v="2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  <x v="0"/>
    <x v="5"/>
    <x v="2"/>
  </r>
  <r>
    <x v="19"/>
    <x v="1"/>
    <s v="Travel_Frequently"/>
    <n v="1474"/>
    <x v="1"/>
    <n v="5"/>
    <x v="0"/>
    <s v="Other"/>
    <n v="1"/>
    <n v="591"/>
    <n v="2"/>
    <x v="1"/>
    <n v="97"/>
    <n v="3"/>
    <n v="1"/>
    <x v="2"/>
    <n v="3"/>
    <x v="1"/>
    <n v="2093"/>
    <n v="9260"/>
    <n v="4"/>
    <s v="Y"/>
    <s v="No"/>
    <n v="17"/>
    <n v="3"/>
    <n v="4"/>
    <n v="80"/>
    <n v="1"/>
    <n v="8"/>
    <n v="4"/>
    <n v="3"/>
    <n v="2"/>
    <n v="2"/>
    <n v="2"/>
    <n v="0"/>
    <m/>
    <x v="1"/>
    <x v="1"/>
    <x v="1"/>
  </r>
  <r>
    <x v="9"/>
    <x v="1"/>
    <s v="Non-Travel"/>
    <n v="635"/>
    <x v="0"/>
    <n v="10"/>
    <x v="2"/>
    <s v="Medical"/>
    <n v="1"/>
    <n v="592"/>
    <n v="2"/>
    <x v="1"/>
    <n v="32"/>
    <n v="3"/>
    <n v="3"/>
    <x v="0"/>
    <n v="4"/>
    <x v="0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  <x v="1"/>
    <x v="2"/>
    <x v="0"/>
  </r>
  <r>
    <x v="15"/>
    <x v="0"/>
    <s v="Travel_Frequently"/>
    <n v="1368"/>
    <x v="1"/>
    <n v="4"/>
    <x v="1"/>
    <s v="Technical Degree"/>
    <n v="1"/>
    <n v="593"/>
    <n v="3"/>
    <x v="1"/>
    <n v="99"/>
    <n v="2"/>
    <n v="1"/>
    <x v="2"/>
    <n v="3"/>
    <x v="0"/>
    <n v="3894"/>
    <n v="9129"/>
    <n v="5"/>
    <s v="Y"/>
    <s v="No"/>
    <n v="16"/>
    <n v="3"/>
    <n v="3"/>
    <n v="80"/>
    <n v="0"/>
    <n v="4"/>
    <n v="3"/>
    <n v="3"/>
    <n v="2"/>
    <n v="2"/>
    <n v="1"/>
    <n v="2"/>
    <m/>
    <x v="1"/>
    <x v="4"/>
    <x v="1"/>
  </r>
  <r>
    <x v="26"/>
    <x v="1"/>
    <s v="Travel_Rarely"/>
    <n v="163"/>
    <x v="0"/>
    <n v="2"/>
    <x v="4"/>
    <s v="Marketing"/>
    <n v="1"/>
    <n v="595"/>
    <n v="2"/>
    <x v="0"/>
    <n v="37"/>
    <n v="3"/>
    <n v="2"/>
    <x v="0"/>
    <n v="4"/>
    <x v="1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  <x v="0"/>
    <x v="3"/>
    <x v="0"/>
  </r>
  <r>
    <x v="27"/>
    <x v="1"/>
    <s v="Travel_Rarely"/>
    <n v="1117"/>
    <x v="0"/>
    <n v="18"/>
    <x v="4"/>
    <s v="Life Sciences"/>
    <n v="1"/>
    <n v="597"/>
    <n v="1"/>
    <x v="0"/>
    <n v="83"/>
    <n v="3"/>
    <n v="4"/>
    <x v="5"/>
    <n v="2"/>
    <x v="0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  <x v="0"/>
    <x v="0"/>
    <x v="0"/>
  </r>
  <r>
    <x v="0"/>
    <x v="1"/>
    <s v="Non-Travel"/>
    <n v="267"/>
    <x v="0"/>
    <n v="10"/>
    <x v="0"/>
    <s v="Life Sciences"/>
    <n v="1"/>
    <n v="599"/>
    <n v="4"/>
    <x v="1"/>
    <n v="56"/>
    <n v="3"/>
    <n v="2"/>
    <x v="0"/>
    <n v="4"/>
    <x v="0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  <x v="1"/>
    <x v="0"/>
    <x v="0"/>
  </r>
  <r>
    <x v="10"/>
    <x v="1"/>
    <s v="Travel_Rarely"/>
    <n v="619"/>
    <x v="0"/>
    <n v="1"/>
    <x v="3"/>
    <s v="Marketing"/>
    <n v="1"/>
    <n v="600"/>
    <n v="2"/>
    <x v="1"/>
    <n v="85"/>
    <n v="3"/>
    <n v="2"/>
    <x v="0"/>
    <n v="3"/>
    <x v="1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  <x v="1"/>
    <x v="3"/>
    <x v="0"/>
  </r>
  <r>
    <x v="32"/>
    <x v="1"/>
    <s v="Travel_Rarely"/>
    <n v="302"/>
    <x v="1"/>
    <n v="6"/>
    <x v="3"/>
    <s v="Life Sciences"/>
    <n v="1"/>
    <n v="601"/>
    <n v="2"/>
    <x v="0"/>
    <n v="75"/>
    <n v="3"/>
    <n v="4"/>
    <x v="3"/>
    <n v="3"/>
    <x v="0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  <x v="0"/>
    <x v="0"/>
    <x v="1"/>
  </r>
  <r>
    <x v="22"/>
    <x v="1"/>
    <s v="Travel_Frequently"/>
    <n v="443"/>
    <x v="1"/>
    <n v="8"/>
    <x v="1"/>
    <s v="Life Sciences"/>
    <n v="1"/>
    <n v="602"/>
    <n v="3"/>
    <x v="0"/>
    <n v="48"/>
    <n v="3"/>
    <n v="1"/>
    <x v="2"/>
    <n v="3"/>
    <x v="1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  <x v="0"/>
    <x v="0"/>
    <x v="1"/>
  </r>
  <r>
    <x v="12"/>
    <x v="1"/>
    <s v="Travel_Rarely"/>
    <n v="828"/>
    <x v="0"/>
    <n v="2"/>
    <x v="1"/>
    <s v="Life Sciences"/>
    <n v="1"/>
    <n v="604"/>
    <n v="2"/>
    <x v="1"/>
    <n v="77"/>
    <n v="3"/>
    <n v="2"/>
    <x v="0"/>
    <n v="4"/>
    <x v="0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  <x v="1"/>
    <x v="0"/>
    <x v="0"/>
  </r>
  <r>
    <x v="19"/>
    <x v="1"/>
    <s v="Travel_Rarely"/>
    <n v="319"/>
    <x v="1"/>
    <n v="24"/>
    <x v="3"/>
    <s v="Medical"/>
    <n v="1"/>
    <n v="605"/>
    <n v="4"/>
    <x v="1"/>
    <n v="56"/>
    <n v="3"/>
    <n v="3"/>
    <x v="3"/>
    <n v="1"/>
    <x v="1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  <x v="1"/>
    <x v="2"/>
    <x v="1"/>
  </r>
  <r>
    <x v="28"/>
    <x v="1"/>
    <s v="Travel_Rarely"/>
    <n v="561"/>
    <x v="0"/>
    <n v="2"/>
    <x v="3"/>
    <s v="Other"/>
    <n v="1"/>
    <n v="606"/>
    <n v="4"/>
    <x v="1"/>
    <n v="61"/>
    <n v="3"/>
    <n v="2"/>
    <x v="0"/>
    <n v="2"/>
    <x v="1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  <x v="1"/>
    <x v="1"/>
    <x v="0"/>
  </r>
  <r>
    <x v="25"/>
    <x v="0"/>
    <s v="Travel_Frequently"/>
    <n v="426"/>
    <x v="2"/>
    <n v="17"/>
    <x v="2"/>
    <s v="Life Sciences"/>
    <n v="1"/>
    <n v="608"/>
    <n v="2"/>
    <x v="0"/>
    <n v="58"/>
    <n v="3"/>
    <n v="1"/>
    <x v="8"/>
    <n v="3"/>
    <x v="2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  <x v="0"/>
    <x v="0"/>
    <x v="2"/>
  </r>
  <r>
    <x v="11"/>
    <x v="1"/>
    <s v="Travel_Rarely"/>
    <n v="232"/>
    <x v="1"/>
    <n v="19"/>
    <x v="3"/>
    <s v="Technical Degree"/>
    <n v="1"/>
    <n v="611"/>
    <n v="4"/>
    <x v="1"/>
    <n v="34"/>
    <n v="3"/>
    <n v="2"/>
    <x v="3"/>
    <n v="4"/>
    <x v="2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  <x v="1"/>
    <x v="4"/>
    <x v="1"/>
  </r>
  <r>
    <x v="3"/>
    <x v="1"/>
    <s v="Travel_Rarely"/>
    <n v="922"/>
    <x v="1"/>
    <n v="1"/>
    <x v="4"/>
    <s v="Medical"/>
    <n v="1"/>
    <n v="612"/>
    <n v="1"/>
    <x v="0"/>
    <n v="95"/>
    <n v="4"/>
    <n v="4"/>
    <x v="7"/>
    <n v="3"/>
    <x v="2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  <x v="0"/>
    <x v="2"/>
    <x v="1"/>
  </r>
  <r>
    <x v="12"/>
    <x v="1"/>
    <s v="Travel_Rarely"/>
    <n v="688"/>
    <x v="0"/>
    <n v="7"/>
    <x v="3"/>
    <s v="Life Sciences"/>
    <n v="1"/>
    <n v="613"/>
    <n v="3"/>
    <x v="1"/>
    <n v="44"/>
    <n v="2"/>
    <n v="3"/>
    <x v="5"/>
    <n v="4"/>
    <x v="2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  <x v="1"/>
    <x v="0"/>
    <x v="0"/>
  </r>
  <r>
    <x v="41"/>
    <x v="0"/>
    <s v="Travel_Frequently"/>
    <n v="1306"/>
    <x v="0"/>
    <n v="5"/>
    <x v="3"/>
    <s v="Marketing"/>
    <n v="1"/>
    <n v="614"/>
    <n v="2"/>
    <x v="1"/>
    <n v="69"/>
    <n v="3"/>
    <n v="1"/>
    <x v="6"/>
    <n v="2"/>
    <x v="0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  <x v="1"/>
    <x v="3"/>
    <x v="0"/>
  </r>
  <r>
    <x v="32"/>
    <x v="1"/>
    <s v="Non-Travel"/>
    <n v="1094"/>
    <x v="0"/>
    <n v="28"/>
    <x v="3"/>
    <s v="Other"/>
    <n v="1"/>
    <n v="615"/>
    <n v="3"/>
    <x v="1"/>
    <n v="58"/>
    <n v="1"/>
    <n v="3"/>
    <x v="0"/>
    <n v="1"/>
    <x v="2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  <x v="1"/>
    <x v="1"/>
    <x v="0"/>
  </r>
  <r>
    <x v="0"/>
    <x v="1"/>
    <s v="Non-Travel"/>
    <n v="509"/>
    <x v="1"/>
    <n v="2"/>
    <x v="2"/>
    <s v="Other"/>
    <n v="1"/>
    <n v="616"/>
    <n v="1"/>
    <x v="0"/>
    <n v="62"/>
    <n v="2"/>
    <n v="2"/>
    <x v="4"/>
    <n v="3"/>
    <x v="0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  <x v="0"/>
    <x v="1"/>
    <x v="1"/>
  </r>
  <r>
    <x v="25"/>
    <x v="1"/>
    <s v="Travel_Rarely"/>
    <n v="775"/>
    <x v="0"/>
    <n v="29"/>
    <x v="0"/>
    <s v="Medical"/>
    <n v="1"/>
    <n v="618"/>
    <n v="1"/>
    <x v="1"/>
    <n v="45"/>
    <n v="3"/>
    <n v="2"/>
    <x v="0"/>
    <n v="3"/>
    <x v="2"/>
    <n v="4306"/>
    <n v="4267"/>
    <n v="5"/>
    <s v="Y"/>
    <s v="No"/>
    <n v="12"/>
    <n v="3"/>
    <n v="1"/>
    <n v="80"/>
    <n v="2"/>
    <n v="8"/>
    <n v="5"/>
    <n v="3"/>
    <n v="0"/>
    <n v="0"/>
    <n v="0"/>
    <n v="0"/>
    <m/>
    <x v="1"/>
    <x v="2"/>
    <x v="0"/>
  </r>
  <r>
    <x v="10"/>
    <x v="1"/>
    <s v="Travel_Rarely"/>
    <n v="195"/>
    <x v="0"/>
    <n v="1"/>
    <x v="3"/>
    <s v="Medical"/>
    <n v="1"/>
    <n v="620"/>
    <n v="1"/>
    <x v="0"/>
    <n v="80"/>
    <n v="3"/>
    <n v="2"/>
    <x v="0"/>
    <n v="3"/>
    <x v="0"/>
    <n v="4859"/>
    <n v="6698"/>
    <n v="1"/>
    <s v="Y"/>
    <s v="No"/>
    <n v="16"/>
    <n v="3"/>
    <n v="4"/>
    <n v="80"/>
    <n v="0"/>
    <n v="5"/>
    <n v="3"/>
    <n v="3"/>
    <n v="5"/>
    <n v="4"/>
    <n v="0"/>
    <n v="3"/>
    <m/>
    <x v="0"/>
    <x v="2"/>
    <x v="0"/>
  </r>
  <r>
    <x v="13"/>
    <x v="1"/>
    <s v="Travel_Rarely"/>
    <n v="258"/>
    <x v="0"/>
    <n v="21"/>
    <x v="2"/>
    <s v="Life Sciences"/>
    <n v="1"/>
    <n v="621"/>
    <n v="4"/>
    <x v="1"/>
    <n v="74"/>
    <n v="4"/>
    <n v="2"/>
    <x v="0"/>
    <n v="4"/>
    <x v="0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  <x v="1"/>
    <x v="0"/>
    <x v="0"/>
  </r>
  <r>
    <x v="25"/>
    <x v="0"/>
    <s v="Travel_Rarely"/>
    <n v="471"/>
    <x v="1"/>
    <n v="24"/>
    <x v="3"/>
    <s v="Technical Degree"/>
    <n v="1"/>
    <n v="622"/>
    <n v="3"/>
    <x v="1"/>
    <n v="66"/>
    <n v="1"/>
    <n v="1"/>
    <x v="2"/>
    <n v="4"/>
    <x v="0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  <x v="1"/>
    <x v="4"/>
    <x v="1"/>
  </r>
  <r>
    <x v="2"/>
    <x v="1"/>
    <s v="Travel_Rarely"/>
    <n v="799"/>
    <x v="1"/>
    <n v="1"/>
    <x v="3"/>
    <s v="Technical Degree"/>
    <n v="1"/>
    <n v="623"/>
    <n v="2"/>
    <x v="0"/>
    <n v="59"/>
    <n v="3"/>
    <n v="3"/>
    <x v="3"/>
    <n v="4"/>
    <x v="0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  <x v="0"/>
    <x v="4"/>
    <x v="1"/>
  </r>
  <r>
    <x v="21"/>
    <x v="1"/>
    <s v="Travel_Frequently"/>
    <n v="1034"/>
    <x v="1"/>
    <n v="18"/>
    <x v="1"/>
    <s v="Medical"/>
    <n v="1"/>
    <n v="624"/>
    <n v="1"/>
    <x v="0"/>
    <n v="86"/>
    <n v="3"/>
    <n v="3"/>
    <x v="4"/>
    <n v="3"/>
    <x v="1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  <x v="0"/>
    <x v="2"/>
    <x v="1"/>
  </r>
  <r>
    <x v="0"/>
    <x v="1"/>
    <s v="Travel_Rarely"/>
    <n v="1276"/>
    <x v="0"/>
    <n v="2"/>
    <x v="4"/>
    <s v="Life Sciences"/>
    <n v="1"/>
    <n v="625"/>
    <n v="2"/>
    <x v="0"/>
    <n v="91"/>
    <n v="3"/>
    <n v="4"/>
    <x v="5"/>
    <n v="1"/>
    <x v="1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  <x v="0"/>
    <x v="0"/>
    <x v="0"/>
  </r>
  <r>
    <x v="2"/>
    <x v="1"/>
    <s v="Non-Travel"/>
    <n v="142"/>
    <x v="0"/>
    <n v="9"/>
    <x v="2"/>
    <s v="Medical"/>
    <n v="1"/>
    <n v="626"/>
    <n v="1"/>
    <x v="1"/>
    <n v="69"/>
    <n v="3"/>
    <n v="3"/>
    <x v="0"/>
    <n v="2"/>
    <x v="2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  <x v="1"/>
    <x v="2"/>
    <x v="0"/>
  </r>
  <r>
    <x v="39"/>
    <x v="1"/>
    <s v="Travel_Rarely"/>
    <n v="956"/>
    <x v="1"/>
    <n v="6"/>
    <x v="0"/>
    <s v="Technical Degree"/>
    <n v="1"/>
    <n v="630"/>
    <n v="4"/>
    <x v="1"/>
    <n v="78"/>
    <n v="3"/>
    <n v="2"/>
    <x v="1"/>
    <n v="1"/>
    <x v="2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  <x v="1"/>
    <x v="4"/>
    <x v="1"/>
  </r>
  <r>
    <x v="5"/>
    <x v="0"/>
    <s v="Non-Travel"/>
    <n v="1474"/>
    <x v="0"/>
    <n v="11"/>
    <x v="2"/>
    <s v="Other"/>
    <n v="1"/>
    <n v="631"/>
    <n v="4"/>
    <x v="1"/>
    <n v="60"/>
    <n v="4"/>
    <n v="2"/>
    <x v="0"/>
    <n v="3"/>
    <x v="1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  <x v="1"/>
    <x v="1"/>
    <x v="0"/>
  </r>
  <r>
    <x v="17"/>
    <x v="1"/>
    <s v="Travel_Frequently"/>
    <n v="535"/>
    <x v="0"/>
    <n v="24"/>
    <x v="3"/>
    <s v="Medical"/>
    <n v="1"/>
    <n v="632"/>
    <n v="4"/>
    <x v="1"/>
    <n v="38"/>
    <n v="3"/>
    <n v="1"/>
    <x v="6"/>
    <n v="4"/>
    <x v="1"/>
    <n v="2400"/>
    <n v="5530"/>
    <n v="0"/>
    <s v="Y"/>
    <s v="No"/>
    <n v="13"/>
    <n v="3"/>
    <n v="3"/>
    <n v="80"/>
    <n v="2"/>
    <n v="3"/>
    <n v="3"/>
    <n v="3"/>
    <n v="2"/>
    <n v="2"/>
    <n v="2"/>
    <n v="1"/>
    <m/>
    <x v="1"/>
    <x v="2"/>
    <x v="0"/>
  </r>
  <r>
    <x v="8"/>
    <x v="1"/>
    <s v="Travel_Rarely"/>
    <n v="1495"/>
    <x v="1"/>
    <n v="10"/>
    <x v="3"/>
    <s v="Medical"/>
    <n v="1"/>
    <n v="634"/>
    <n v="3"/>
    <x v="0"/>
    <n v="76"/>
    <n v="3"/>
    <n v="2"/>
    <x v="4"/>
    <n v="3"/>
    <x v="1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  <x v="0"/>
    <x v="2"/>
    <x v="1"/>
  </r>
  <r>
    <x v="2"/>
    <x v="1"/>
    <s v="Travel_Rarely"/>
    <n v="446"/>
    <x v="1"/>
    <n v="1"/>
    <x v="2"/>
    <s v="Life Sciences"/>
    <n v="1"/>
    <n v="635"/>
    <n v="2"/>
    <x v="0"/>
    <n v="65"/>
    <n v="3"/>
    <n v="2"/>
    <x v="3"/>
    <n v="2"/>
    <x v="1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  <x v="0"/>
    <x v="0"/>
    <x v="1"/>
  </r>
  <r>
    <x v="1"/>
    <x v="1"/>
    <s v="Travel_Rarely"/>
    <n v="1245"/>
    <x v="1"/>
    <n v="18"/>
    <x v="2"/>
    <s v="Life Sciences"/>
    <n v="1"/>
    <n v="638"/>
    <n v="4"/>
    <x v="1"/>
    <n v="58"/>
    <n v="2"/>
    <n v="5"/>
    <x v="7"/>
    <n v="3"/>
    <x v="2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  <x v="1"/>
    <x v="0"/>
    <x v="1"/>
  </r>
  <r>
    <x v="17"/>
    <x v="1"/>
    <s v="Travel_Rarely"/>
    <n v="691"/>
    <x v="1"/>
    <n v="23"/>
    <x v="3"/>
    <s v="Medical"/>
    <n v="1"/>
    <n v="639"/>
    <n v="2"/>
    <x v="1"/>
    <n v="89"/>
    <n v="4"/>
    <n v="1"/>
    <x v="1"/>
    <n v="4"/>
    <x v="1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  <x v="1"/>
    <x v="2"/>
    <x v="1"/>
  </r>
  <r>
    <x v="25"/>
    <x v="1"/>
    <s v="Travel_Rarely"/>
    <n v="703"/>
    <x v="0"/>
    <n v="28"/>
    <x v="0"/>
    <s v="Marketing"/>
    <n v="1"/>
    <n v="641"/>
    <n v="1"/>
    <x v="1"/>
    <n v="66"/>
    <n v="3"/>
    <n v="2"/>
    <x v="0"/>
    <n v="2"/>
    <x v="1"/>
    <n v="6272"/>
    <n v="7428"/>
    <n v="1"/>
    <s v="Y"/>
    <s v="No"/>
    <n v="20"/>
    <n v="4"/>
    <n v="4"/>
    <n v="80"/>
    <n v="2"/>
    <n v="6"/>
    <n v="5"/>
    <n v="4"/>
    <n v="5"/>
    <n v="3"/>
    <n v="1"/>
    <n v="4"/>
    <m/>
    <x v="1"/>
    <x v="3"/>
    <x v="0"/>
  </r>
  <r>
    <x v="17"/>
    <x v="1"/>
    <s v="Travel_Rarely"/>
    <n v="823"/>
    <x v="1"/>
    <n v="17"/>
    <x v="0"/>
    <s v="Other"/>
    <n v="1"/>
    <n v="643"/>
    <n v="4"/>
    <x v="1"/>
    <n v="94"/>
    <n v="2"/>
    <n v="1"/>
    <x v="2"/>
    <n v="2"/>
    <x v="1"/>
    <n v="2127"/>
    <n v="9100"/>
    <n v="1"/>
    <s v="Y"/>
    <s v="No"/>
    <n v="21"/>
    <n v="4"/>
    <n v="4"/>
    <n v="80"/>
    <n v="1"/>
    <n v="1"/>
    <n v="2"/>
    <n v="3"/>
    <n v="1"/>
    <n v="0"/>
    <n v="0"/>
    <n v="0"/>
    <m/>
    <x v="1"/>
    <x v="1"/>
    <x v="1"/>
  </r>
  <r>
    <x v="24"/>
    <x v="1"/>
    <s v="Travel_Frequently"/>
    <n v="1246"/>
    <x v="2"/>
    <n v="3"/>
    <x v="3"/>
    <s v="Medical"/>
    <n v="1"/>
    <n v="644"/>
    <n v="1"/>
    <x v="1"/>
    <n v="99"/>
    <n v="3"/>
    <n v="5"/>
    <x v="5"/>
    <n v="2"/>
    <x v="1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  <x v="1"/>
    <x v="2"/>
    <x v="2"/>
  </r>
  <r>
    <x v="36"/>
    <x v="1"/>
    <s v="Travel_Rarely"/>
    <n v="622"/>
    <x v="0"/>
    <n v="13"/>
    <x v="1"/>
    <s v="Medical"/>
    <n v="1"/>
    <n v="645"/>
    <n v="2"/>
    <x v="1"/>
    <n v="40"/>
    <n v="3"/>
    <n v="1"/>
    <x v="6"/>
    <n v="3"/>
    <x v="1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  <x v="1"/>
    <x v="2"/>
    <x v="0"/>
  </r>
  <r>
    <x v="17"/>
    <x v="0"/>
    <s v="Travel_Frequently"/>
    <n v="1287"/>
    <x v="1"/>
    <n v="7"/>
    <x v="3"/>
    <s v="Life Sciences"/>
    <n v="1"/>
    <n v="647"/>
    <n v="1"/>
    <x v="0"/>
    <n v="55"/>
    <n v="3"/>
    <n v="1"/>
    <x v="2"/>
    <n v="3"/>
    <x v="1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  <x v="0"/>
    <x v="0"/>
    <x v="1"/>
  </r>
  <r>
    <x v="7"/>
    <x v="0"/>
    <s v="Travel_Frequently"/>
    <n v="448"/>
    <x v="0"/>
    <n v="12"/>
    <x v="2"/>
    <s v="Life Sciences"/>
    <n v="1"/>
    <n v="648"/>
    <n v="2"/>
    <x v="1"/>
    <n v="74"/>
    <n v="2"/>
    <n v="1"/>
    <x v="6"/>
    <n v="1"/>
    <x v="1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  <x v="1"/>
    <x v="0"/>
    <x v="0"/>
  </r>
  <r>
    <x v="13"/>
    <x v="1"/>
    <s v="Travel_Rarely"/>
    <n v="254"/>
    <x v="1"/>
    <n v="1"/>
    <x v="0"/>
    <s v="Life Sciences"/>
    <n v="1"/>
    <n v="649"/>
    <n v="2"/>
    <x v="1"/>
    <n v="83"/>
    <n v="2"/>
    <n v="1"/>
    <x v="1"/>
    <n v="4"/>
    <x v="1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  <x v="1"/>
    <x v="0"/>
    <x v="1"/>
  </r>
  <r>
    <x v="12"/>
    <x v="0"/>
    <s v="Travel_Rarely"/>
    <n v="1365"/>
    <x v="0"/>
    <n v="13"/>
    <x v="2"/>
    <s v="Medical"/>
    <n v="1"/>
    <n v="650"/>
    <n v="2"/>
    <x v="1"/>
    <n v="46"/>
    <n v="3"/>
    <n v="2"/>
    <x v="0"/>
    <n v="1"/>
    <x v="2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  <x v="1"/>
    <x v="2"/>
    <x v="0"/>
  </r>
  <r>
    <x v="10"/>
    <x v="1"/>
    <s v="Travel_Rarely"/>
    <n v="538"/>
    <x v="1"/>
    <n v="25"/>
    <x v="0"/>
    <s v="Other"/>
    <n v="1"/>
    <n v="652"/>
    <n v="1"/>
    <x v="1"/>
    <n v="54"/>
    <n v="2"/>
    <n v="2"/>
    <x v="2"/>
    <n v="4"/>
    <x v="0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  <x v="1"/>
    <x v="1"/>
    <x v="1"/>
  </r>
  <r>
    <x v="12"/>
    <x v="1"/>
    <s v="Travel_Rarely"/>
    <n v="525"/>
    <x v="0"/>
    <n v="6"/>
    <x v="2"/>
    <s v="Medical"/>
    <n v="1"/>
    <n v="653"/>
    <n v="1"/>
    <x v="1"/>
    <n v="66"/>
    <n v="4"/>
    <n v="2"/>
    <x v="0"/>
    <n v="4"/>
    <x v="2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  <x v="1"/>
    <x v="2"/>
    <x v="0"/>
  </r>
  <r>
    <x v="4"/>
    <x v="1"/>
    <s v="Travel_Rarely"/>
    <n v="798"/>
    <x v="1"/>
    <n v="6"/>
    <x v="2"/>
    <s v="Medical"/>
    <n v="1"/>
    <n v="655"/>
    <n v="1"/>
    <x v="0"/>
    <n v="66"/>
    <n v="2"/>
    <n v="1"/>
    <x v="1"/>
    <n v="3"/>
    <x v="2"/>
    <n v="2187"/>
    <n v="5013"/>
    <n v="0"/>
    <s v="Y"/>
    <s v="No"/>
    <n v="12"/>
    <n v="3"/>
    <n v="3"/>
    <n v="80"/>
    <n v="2"/>
    <n v="6"/>
    <n v="5"/>
    <n v="2"/>
    <n v="5"/>
    <n v="3"/>
    <n v="0"/>
    <n v="3"/>
    <m/>
    <x v="0"/>
    <x v="2"/>
    <x v="1"/>
  </r>
  <r>
    <x v="2"/>
    <x v="1"/>
    <s v="Travel_Rarely"/>
    <n v="558"/>
    <x v="0"/>
    <n v="2"/>
    <x v="3"/>
    <s v="Marketing"/>
    <n v="1"/>
    <n v="656"/>
    <n v="4"/>
    <x v="1"/>
    <n v="75"/>
    <n v="3"/>
    <n v="2"/>
    <x v="0"/>
    <n v="3"/>
    <x v="1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  <x v="1"/>
    <x v="3"/>
    <x v="0"/>
  </r>
  <r>
    <x v="35"/>
    <x v="1"/>
    <s v="Travel_Rarely"/>
    <n v="959"/>
    <x v="1"/>
    <n v="1"/>
    <x v="3"/>
    <s v="Life Sciences"/>
    <n v="1"/>
    <n v="657"/>
    <n v="4"/>
    <x v="0"/>
    <n v="83"/>
    <n v="2"/>
    <n v="1"/>
    <x v="1"/>
    <n v="2"/>
    <x v="0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  <x v="0"/>
    <x v="0"/>
    <x v="1"/>
  </r>
  <r>
    <x v="19"/>
    <x v="1"/>
    <s v="Travel_Rarely"/>
    <n v="622"/>
    <x v="1"/>
    <n v="2"/>
    <x v="2"/>
    <s v="Life Sciences"/>
    <n v="1"/>
    <n v="659"/>
    <n v="3"/>
    <x v="0"/>
    <n v="81"/>
    <n v="3"/>
    <n v="2"/>
    <x v="4"/>
    <n v="4"/>
    <x v="1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  <x v="0"/>
    <x v="0"/>
    <x v="1"/>
  </r>
  <r>
    <x v="23"/>
    <x v="1"/>
    <s v="Travel_Rarely"/>
    <n v="782"/>
    <x v="1"/>
    <n v="6"/>
    <x v="2"/>
    <s v="Other"/>
    <n v="1"/>
    <n v="661"/>
    <n v="2"/>
    <x v="1"/>
    <n v="50"/>
    <n v="2"/>
    <n v="4"/>
    <x v="7"/>
    <n v="4"/>
    <x v="2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  <x v="1"/>
    <x v="1"/>
    <x v="1"/>
  </r>
  <r>
    <x v="8"/>
    <x v="1"/>
    <s v="Travel_Rarely"/>
    <n v="362"/>
    <x v="1"/>
    <n v="1"/>
    <x v="1"/>
    <s v="Life Sciences"/>
    <n v="1"/>
    <n v="662"/>
    <n v="3"/>
    <x v="0"/>
    <n v="43"/>
    <n v="3"/>
    <n v="1"/>
    <x v="1"/>
    <n v="1"/>
    <x v="0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  <x v="0"/>
    <x v="0"/>
    <x v="1"/>
  </r>
  <r>
    <x v="23"/>
    <x v="1"/>
    <s v="Travel_Frequently"/>
    <n v="1001"/>
    <x v="1"/>
    <n v="9"/>
    <x v="4"/>
    <s v="Medical"/>
    <n v="1"/>
    <n v="663"/>
    <n v="4"/>
    <x v="1"/>
    <n v="72"/>
    <n v="3"/>
    <n v="2"/>
    <x v="2"/>
    <n v="3"/>
    <x v="2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  <x v="1"/>
    <x v="2"/>
    <x v="1"/>
  </r>
  <r>
    <x v="26"/>
    <x v="1"/>
    <s v="Travel_Rarely"/>
    <n v="1236"/>
    <x v="1"/>
    <n v="1"/>
    <x v="2"/>
    <s v="Life Sciences"/>
    <n v="1"/>
    <n v="664"/>
    <n v="4"/>
    <x v="0"/>
    <n v="40"/>
    <n v="2"/>
    <n v="4"/>
    <x v="5"/>
    <n v="1"/>
    <x v="1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  <x v="0"/>
    <x v="0"/>
    <x v="1"/>
  </r>
  <r>
    <x v="20"/>
    <x v="1"/>
    <s v="Travel_Rarely"/>
    <n v="1112"/>
    <x v="2"/>
    <n v="1"/>
    <x v="2"/>
    <s v="Life Sciences"/>
    <n v="1"/>
    <n v="665"/>
    <n v="1"/>
    <x v="0"/>
    <n v="50"/>
    <n v="2"/>
    <n v="2"/>
    <x v="8"/>
    <n v="3"/>
    <x v="0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  <x v="0"/>
    <x v="0"/>
    <x v="2"/>
  </r>
  <r>
    <x v="13"/>
    <x v="1"/>
    <s v="Travel_Rarely"/>
    <n v="204"/>
    <x v="0"/>
    <n v="14"/>
    <x v="3"/>
    <s v="Technical Degree"/>
    <n v="1"/>
    <n v="666"/>
    <n v="3"/>
    <x v="0"/>
    <n v="31"/>
    <n v="3"/>
    <n v="1"/>
    <x v="6"/>
    <n v="3"/>
    <x v="2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  <x v="0"/>
    <x v="4"/>
    <x v="0"/>
  </r>
  <r>
    <x v="4"/>
    <x v="0"/>
    <s v="Travel_Rarely"/>
    <n v="1420"/>
    <x v="0"/>
    <n v="2"/>
    <x v="1"/>
    <s v="Marketing"/>
    <n v="1"/>
    <n v="667"/>
    <n v="3"/>
    <x v="1"/>
    <n v="85"/>
    <n v="3"/>
    <n v="1"/>
    <x v="6"/>
    <n v="1"/>
    <x v="2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  <x v="1"/>
    <x v="3"/>
    <x v="0"/>
  </r>
  <r>
    <x v="18"/>
    <x v="1"/>
    <s v="Travel_Rarely"/>
    <n v="1343"/>
    <x v="0"/>
    <n v="22"/>
    <x v="1"/>
    <s v="Technical Degree"/>
    <n v="1"/>
    <n v="669"/>
    <n v="3"/>
    <x v="1"/>
    <n v="49"/>
    <n v="3"/>
    <n v="1"/>
    <x v="6"/>
    <n v="3"/>
    <x v="0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  <x v="1"/>
    <x v="4"/>
    <x v="0"/>
  </r>
  <r>
    <x v="20"/>
    <x v="1"/>
    <s v="Travel_Rarely"/>
    <n v="1315"/>
    <x v="1"/>
    <n v="3"/>
    <x v="2"/>
    <s v="Other"/>
    <n v="1"/>
    <n v="671"/>
    <n v="4"/>
    <x v="1"/>
    <n v="35"/>
    <n v="3"/>
    <n v="5"/>
    <x v="5"/>
    <n v="4"/>
    <x v="1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  <x v="1"/>
    <x v="1"/>
    <x v="1"/>
  </r>
  <r>
    <x v="15"/>
    <x v="1"/>
    <s v="Travel_Rarely"/>
    <n v="604"/>
    <x v="1"/>
    <n v="6"/>
    <x v="1"/>
    <s v="Medical"/>
    <n v="1"/>
    <n v="675"/>
    <n v="1"/>
    <x v="1"/>
    <n v="69"/>
    <n v="3"/>
    <n v="1"/>
    <x v="1"/>
    <n v="3"/>
    <x v="1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  <x v="1"/>
    <x v="2"/>
    <x v="1"/>
  </r>
  <r>
    <x v="3"/>
    <x v="1"/>
    <s v="Travel_Rarely"/>
    <n v="1216"/>
    <x v="0"/>
    <n v="8"/>
    <x v="2"/>
    <s v="Marketing"/>
    <n v="1"/>
    <n v="677"/>
    <n v="3"/>
    <x v="1"/>
    <n v="39"/>
    <n v="3"/>
    <n v="2"/>
    <x v="0"/>
    <n v="3"/>
    <x v="2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  <x v="1"/>
    <x v="3"/>
    <x v="0"/>
  </r>
  <r>
    <x v="5"/>
    <x v="1"/>
    <s v="Travel_Rarely"/>
    <n v="646"/>
    <x v="1"/>
    <n v="9"/>
    <x v="2"/>
    <s v="Life Sciences"/>
    <n v="1"/>
    <n v="679"/>
    <n v="1"/>
    <x v="0"/>
    <n v="92"/>
    <n v="3"/>
    <n v="2"/>
    <x v="1"/>
    <n v="4"/>
    <x v="1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  <x v="0"/>
    <x v="0"/>
    <x v="1"/>
  </r>
  <r>
    <x v="7"/>
    <x v="1"/>
    <s v="Travel_Frequently"/>
    <n v="160"/>
    <x v="1"/>
    <n v="3"/>
    <x v="3"/>
    <s v="Medical"/>
    <n v="1"/>
    <n v="680"/>
    <n v="3"/>
    <x v="0"/>
    <n v="71"/>
    <n v="3"/>
    <n v="1"/>
    <x v="1"/>
    <n v="3"/>
    <x v="2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  <x v="0"/>
    <x v="2"/>
    <x v="1"/>
  </r>
  <r>
    <x v="16"/>
    <x v="1"/>
    <s v="Travel_Rarely"/>
    <n v="238"/>
    <x v="0"/>
    <n v="1"/>
    <x v="1"/>
    <s v="Medical"/>
    <n v="1"/>
    <n v="682"/>
    <n v="4"/>
    <x v="0"/>
    <n v="34"/>
    <n v="3"/>
    <n v="2"/>
    <x v="0"/>
    <n v="1"/>
    <x v="0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  <x v="0"/>
    <x v="2"/>
    <x v="0"/>
  </r>
  <r>
    <x v="13"/>
    <x v="1"/>
    <s v="Travel_Rarely"/>
    <n v="1397"/>
    <x v="1"/>
    <n v="1"/>
    <x v="4"/>
    <s v="Life Sciences"/>
    <n v="1"/>
    <n v="683"/>
    <n v="2"/>
    <x v="1"/>
    <n v="42"/>
    <n v="3"/>
    <n v="1"/>
    <x v="1"/>
    <n v="4"/>
    <x v="1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  <x v="1"/>
    <x v="0"/>
    <x v="1"/>
  </r>
  <r>
    <x v="28"/>
    <x v="0"/>
    <s v="Travel_Frequently"/>
    <n v="306"/>
    <x v="0"/>
    <n v="26"/>
    <x v="2"/>
    <s v="Life Sciences"/>
    <n v="1"/>
    <n v="684"/>
    <n v="1"/>
    <x v="0"/>
    <n v="100"/>
    <n v="3"/>
    <n v="2"/>
    <x v="0"/>
    <n v="1"/>
    <x v="1"/>
    <n v="4286"/>
    <n v="5630"/>
    <n v="2"/>
    <s v="Y"/>
    <s v="No"/>
    <n v="14"/>
    <n v="3"/>
    <n v="4"/>
    <n v="80"/>
    <n v="2"/>
    <n v="5"/>
    <n v="4"/>
    <n v="3"/>
    <n v="1"/>
    <n v="1"/>
    <n v="0"/>
    <n v="0"/>
    <m/>
    <x v="0"/>
    <x v="0"/>
    <x v="0"/>
  </r>
  <r>
    <x v="25"/>
    <x v="1"/>
    <s v="Travel_Rarely"/>
    <n v="991"/>
    <x v="1"/>
    <n v="6"/>
    <x v="3"/>
    <s v="Life Sciences"/>
    <n v="1"/>
    <n v="686"/>
    <n v="3"/>
    <x v="0"/>
    <n v="71"/>
    <n v="3"/>
    <n v="1"/>
    <x v="2"/>
    <n v="4"/>
    <x v="1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  <x v="0"/>
    <x v="0"/>
    <x v="1"/>
  </r>
  <r>
    <x v="2"/>
    <x v="1"/>
    <s v="Travel_Rarely"/>
    <n v="482"/>
    <x v="1"/>
    <n v="3"/>
    <x v="3"/>
    <s v="Other"/>
    <n v="1"/>
    <n v="689"/>
    <n v="3"/>
    <x v="1"/>
    <n v="36"/>
    <n v="3"/>
    <n v="3"/>
    <x v="3"/>
    <n v="3"/>
    <x v="1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  <x v="1"/>
    <x v="1"/>
    <x v="1"/>
  </r>
  <r>
    <x v="11"/>
    <x v="1"/>
    <s v="Travel_Rarely"/>
    <n v="1176"/>
    <x v="0"/>
    <n v="3"/>
    <x v="0"/>
    <s v="Medical"/>
    <n v="1"/>
    <n v="690"/>
    <n v="2"/>
    <x v="0"/>
    <n v="62"/>
    <n v="3"/>
    <n v="2"/>
    <x v="0"/>
    <n v="3"/>
    <x v="1"/>
    <n v="5561"/>
    <n v="3487"/>
    <n v="1"/>
    <s v="Y"/>
    <s v="No"/>
    <n v="14"/>
    <n v="3"/>
    <n v="1"/>
    <n v="80"/>
    <n v="1"/>
    <n v="6"/>
    <n v="5"/>
    <n v="2"/>
    <n v="6"/>
    <n v="0"/>
    <n v="1"/>
    <n v="2"/>
    <m/>
    <x v="0"/>
    <x v="2"/>
    <x v="0"/>
  </r>
  <r>
    <x v="10"/>
    <x v="1"/>
    <s v="Travel_Rarely"/>
    <n v="1017"/>
    <x v="1"/>
    <n v="6"/>
    <x v="2"/>
    <s v="Life Sciences"/>
    <n v="1"/>
    <n v="691"/>
    <n v="2"/>
    <x v="1"/>
    <n v="82"/>
    <n v="1"/>
    <n v="2"/>
    <x v="1"/>
    <n v="4"/>
    <x v="0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  <x v="1"/>
    <x v="0"/>
    <x v="1"/>
  </r>
  <r>
    <x v="3"/>
    <x v="1"/>
    <s v="Travel_Frequently"/>
    <n v="1296"/>
    <x v="1"/>
    <n v="6"/>
    <x v="3"/>
    <s v="Life Sciences"/>
    <n v="1"/>
    <n v="692"/>
    <n v="3"/>
    <x v="1"/>
    <n v="30"/>
    <n v="3"/>
    <n v="2"/>
    <x v="4"/>
    <n v="4"/>
    <x v="2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  <x v="1"/>
    <x v="0"/>
    <x v="1"/>
  </r>
  <r>
    <x v="33"/>
    <x v="1"/>
    <s v="Travel_Rarely"/>
    <n v="397"/>
    <x v="2"/>
    <n v="19"/>
    <x v="2"/>
    <s v="Medical"/>
    <n v="1"/>
    <n v="698"/>
    <n v="3"/>
    <x v="1"/>
    <n v="88"/>
    <n v="3"/>
    <n v="3"/>
    <x v="8"/>
    <n v="2"/>
    <x v="1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  <x v="1"/>
    <x v="2"/>
    <x v="2"/>
  </r>
  <r>
    <x v="9"/>
    <x v="1"/>
    <s v="Travel_Rarely"/>
    <n v="913"/>
    <x v="1"/>
    <n v="9"/>
    <x v="0"/>
    <s v="Medical"/>
    <n v="1"/>
    <n v="699"/>
    <n v="2"/>
    <x v="1"/>
    <n v="48"/>
    <n v="2"/>
    <n v="2"/>
    <x v="3"/>
    <n v="2"/>
    <x v="2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  <x v="1"/>
    <x v="2"/>
    <x v="1"/>
  </r>
  <r>
    <x v="4"/>
    <x v="1"/>
    <s v="Travel_Rarely"/>
    <n v="1115"/>
    <x v="1"/>
    <n v="3"/>
    <x v="2"/>
    <s v="Medical"/>
    <n v="1"/>
    <n v="700"/>
    <n v="1"/>
    <x v="1"/>
    <n v="54"/>
    <n v="2"/>
    <n v="1"/>
    <x v="1"/>
    <n v="4"/>
    <x v="0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  <x v="1"/>
    <x v="2"/>
    <x v="1"/>
  </r>
  <r>
    <x v="35"/>
    <x v="0"/>
    <s v="Travel_Rarely"/>
    <n v="1362"/>
    <x v="1"/>
    <n v="10"/>
    <x v="1"/>
    <s v="Medical"/>
    <n v="1"/>
    <n v="701"/>
    <n v="4"/>
    <x v="1"/>
    <n v="32"/>
    <n v="3"/>
    <n v="1"/>
    <x v="1"/>
    <n v="3"/>
    <x v="0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  <x v="1"/>
    <x v="2"/>
    <x v="1"/>
  </r>
  <r>
    <x v="3"/>
    <x v="0"/>
    <s v="Travel_Frequently"/>
    <n v="1076"/>
    <x v="1"/>
    <n v="3"/>
    <x v="3"/>
    <s v="Life Sciences"/>
    <n v="1"/>
    <n v="702"/>
    <n v="1"/>
    <x v="1"/>
    <n v="70"/>
    <n v="3"/>
    <n v="1"/>
    <x v="1"/>
    <n v="1"/>
    <x v="0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  <x v="1"/>
    <x v="0"/>
    <x v="1"/>
  </r>
  <r>
    <x v="10"/>
    <x v="1"/>
    <s v="Non-Travel"/>
    <n v="727"/>
    <x v="1"/>
    <n v="3"/>
    <x v="3"/>
    <s v="Life Sciences"/>
    <n v="1"/>
    <n v="704"/>
    <n v="3"/>
    <x v="1"/>
    <n v="41"/>
    <n v="2"/>
    <n v="1"/>
    <x v="2"/>
    <n v="3"/>
    <x v="1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  <x v="1"/>
    <x v="0"/>
    <x v="1"/>
  </r>
  <r>
    <x v="30"/>
    <x v="1"/>
    <s v="Travel_Rarely"/>
    <n v="885"/>
    <x v="1"/>
    <n v="4"/>
    <x v="3"/>
    <s v="Medical"/>
    <n v="1"/>
    <n v="705"/>
    <n v="1"/>
    <x v="1"/>
    <n v="58"/>
    <n v="4"/>
    <n v="1"/>
    <x v="1"/>
    <n v="1"/>
    <x v="1"/>
    <n v="2819"/>
    <n v="8544"/>
    <n v="2"/>
    <s v="Y"/>
    <s v="No"/>
    <n v="16"/>
    <n v="3"/>
    <n v="1"/>
    <n v="80"/>
    <n v="1"/>
    <n v="5"/>
    <n v="3"/>
    <n v="4"/>
    <n v="3"/>
    <n v="2"/>
    <n v="0"/>
    <n v="2"/>
    <m/>
    <x v="1"/>
    <x v="2"/>
    <x v="1"/>
  </r>
  <r>
    <x v="36"/>
    <x v="1"/>
    <s v="Travel_Rarely"/>
    <n v="810"/>
    <x v="0"/>
    <n v="8"/>
    <x v="3"/>
    <s v="Life Sciences"/>
    <n v="1"/>
    <n v="707"/>
    <n v="4"/>
    <x v="1"/>
    <n v="57"/>
    <n v="4"/>
    <n v="2"/>
    <x v="0"/>
    <n v="2"/>
    <x v="1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  <x v="1"/>
    <x v="0"/>
    <x v="0"/>
  </r>
  <r>
    <x v="8"/>
    <x v="1"/>
    <s v="Travel_Rarely"/>
    <n v="243"/>
    <x v="0"/>
    <n v="7"/>
    <x v="2"/>
    <s v="Marketing"/>
    <n v="1"/>
    <n v="709"/>
    <n v="4"/>
    <x v="0"/>
    <n v="46"/>
    <n v="2"/>
    <n v="2"/>
    <x v="0"/>
    <n v="4"/>
    <x v="0"/>
    <n v="4028"/>
    <n v="7791"/>
    <n v="0"/>
    <s v="Y"/>
    <s v="No"/>
    <n v="20"/>
    <n v="4"/>
    <n v="1"/>
    <n v="80"/>
    <n v="0"/>
    <n v="8"/>
    <n v="2"/>
    <n v="3"/>
    <n v="7"/>
    <n v="7"/>
    <n v="0"/>
    <n v="5"/>
    <m/>
    <x v="0"/>
    <x v="3"/>
    <x v="0"/>
  </r>
  <r>
    <x v="11"/>
    <x v="1"/>
    <s v="Travel_Frequently"/>
    <n v="806"/>
    <x v="1"/>
    <n v="1"/>
    <x v="2"/>
    <s v="Life Sciences"/>
    <n v="1"/>
    <n v="710"/>
    <n v="2"/>
    <x v="1"/>
    <n v="76"/>
    <n v="1"/>
    <n v="1"/>
    <x v="1"/>
    <n v="4"/>
    <x v="2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  <x v="1"/>
    <x v="0"/>
    <x v="1"/>
  </r>
  <r>
    <x v="26"/>
    <x v="1"/>
    <s v="Travel_Rarely"/>
    <n v="817"/>
    <x v="0"/>
    <n v="2"/>
    <x v="1"/>
    <s v="Marketing"/>
    <n v="1"/>
    <n v="712"/>
    <n v="2"/>
    <x v="1"/>
    <n v="56"/>
    <n v="4"/>
    <n v="2"/>
    <x v="0"/>
    <n v="2"/>
    <x v="1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  <x v="1"/>
    <x v="3"/>
    <x v="0"/>
  </r>
  <r>
    <x v="4"/>
    <x v="1"/>
    <s v="Travel_Frequently"/>
    <n v="1410"/>
    <x v="0"/>
    <n v="3"/>
    <x v="1"/>
    <s v="Medical"/>
    <n v="1"/>
    <n v="714"/>
    <n v="4"/>
    <x v="0"/>
    <n v="71"/>
    <n v="4"/>
    <n v="2"/>
    <x v="0"/>
    <n v="4"/>
    <x v="2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  <x v="0"/>
    <x v="2"/>
    <x v="0"/>
  </r>
  <r>
    <x v="2"/>
    <x v="1"/>
    <s v="Travel_Rarely"/>
    <n v="1225"/>
    <x v="1"/>
    <n v="10"/>
    <x v="0"/>
    <s v="Life Sciences"/>
    <n v="1"/>
    <n v="715"/>
    <n v="4"/>
    <x v="1"/>
    <n v="80"/>
    <n v="4"/>
    <n v="1"/>
    <x v="1"/>
    <n v="4"/>
    <x v="0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  <x v="1"/>
    <x v="0"/>
    <x v="1"/>
  </r>
  <r>
    <x v="24"/>
    <x v="1"/>
    <s v="Travel_Rarely"/>
    <n v="1207"/>
    <x v="1"/>
    <n v="28"/>
    <x v="1"/>
    <s v="Medical"/>
    <n v="1"/>
    <n v="716"/>
    <n v="4"/>
    <x v="1"/>
    <n v="74"/>
    <n v="4"/>
    <n v="1"/>
    <x v="2"/>
    <n v="3"/>
    <x v="1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  <x v="1"/>
    <x v="2"/>
    <x v="1"/>
  </r>
  <r>
    <x v="13"/>
    <x v="1"/>
    <s v="Travel_Rarely"/>
    <n v="1442"/>
    <x v="1"/>
    <n v="9"/>
    <x v="3"/>
    <s v="Medical"/>
    <n v="1"/>
    <n v="717"/>
    <n v="4"/>
    <x v="0"/>
    <n v="46"/>
    <n v="2"/>
    <n v="3"/>
    <x v="4"/>
    <n v="2"/>
    <x v="0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  <x v="0"/>
    <x v="2"/>
    <x v="1"/>
  </r>
  <r>
    <x v="17"/>
    <x v="0"/>
    <s v="Travel_Rarely"/>
    <n v="693"/>
    <x v="0"/>
    <n v="3"/>
    <x v="0"/>
    <s v="Life Sciences"/>
    <n v="1"/>
    <n v="720"/>
    <n v="1"/>
    <x v="0"/>
    <n v="65"/>
    <n v="3"/>
    <n v="2"/>
    <x v="0"/>
    <n v="3"/>
    <x v="0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  <x v="0"/>
    <x v="0"/>
    <x v="0"/>
  </r>
  <r>
    <x v="22"/>
    <x v="1"/>
    <s v="Travel_Rarely"/>
    <n v="408"/>
    <x v="1"/>
    <n v="2"/>
    <x v="2"/>
    <s v="Technical Degree"/>
    <n v="1"/>
    <n v="721"/>
    <n v="4"/>
    <x v="0"/>
    <n v="80"/>
    <n v="2"/>
    <n v="2"/>
    <x v="4"/>
    <n v="3"/>
    <x v="0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  <x v="0"/>
    <x v="4"/>
    <x v="1"/>
  </r>
  <r>
    <x v="5"/>
    <x v="1"/>
    <s v="Travel_Rarely"/>
    <n v="929"/>
    <x v="0"/>
    <n v="10"/>
    <x v="3"/>
    <s v="Marketing"/>
    <n v="1"/>
    <n v="722"/>
    <n v="4"/>
    <x v="1"/>
    <n v="55"/>
    <n v="3"/>
    <n v="2"/>
    <x v="0"/>
    <n v="4"/>
    <x v="0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  <x v="1"/>
    <x v="3"/>
    <x v="0"/>
  </r>
  <r>
    <x v="24"/>
    <x v="0"/>
    <s v="Travel_Frequently"/>
    <n v="562"/>
    <x v="0"/>
    <n v="8"/>
    <x v="0"/>
    <s v="Technical Degree"/>
    <n v="1"/>
    <n v="723"/>
    <n v="2"/>
    <x v="1"/>
    <n v="50"/>
    <n v="3"/>
    <n v="2"/>
    <x v="0"/>
    <n v="3"/>
    <x v="1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  <x v="1"/>
    <x v="4"/>
    <x v="0"/>
  </r>
  <r>
    <x v="8"/>
    <x v="1"/>
    <s v="Travel_Rarely"/>
    <n v="827"/>
    <x v="1"/>
    <n v="1"/>
    <x v="2"/>
    <s v="Life Sciences"/>
    <n v="1"/>
    <n v="724"/>
    <n v="2"/>
    <x v="0"/>
    <n v="33"/>
    <n v="4"/>
    <n v="2"/>
    <x v="4"/>
    <n v="4"/>
    <x v="0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  <x v="0"/>
    <x v="0"/>
    <x v="1"/>
  </r>
  <r>
    <x v="4"/>
    <x v="1"/>
    <s v="Travel_Rarely"/>
    <n v="608"/>
    <x v="1"/>
    <n v="1"/>
    <x v="0"/>
    <s v="Life Sciences"/>
    <n v="1"/>
    <n v="725"/>
    <n v="3"/>
    <x v="0"/>
    <n v="68"/>
    <n v="3"/>
    <n v="3"/>
    <x v="3"/>
    <n v="1"/>
    <x v="1"/>
    <n v="7412"/>
    <n v="6009"/>
    <n v="1"/>
    <s v="Y"/>
    <s v="No"/>
    <n v="11"/>
    <n v="3"/>
    <n v="4"/>
    <n v="80"/>
    <n v="0"/>
    <n v="9"/>
    <n v="3"/>
    <n v="3"/>
    <n v="9"/>
    <n v="7"/>
    <n v="0"/>
    <n v="7"/>
    <m/>
    <x v="0"/>
    <x v="0"/>
    <x v="1"/>
  </r>
  <r>
    <x v="5"/>
    <x v="1"/>
    <s v="Travel_Rarely"/>
    <n v="1018"/>
    <x v="1"/>
    <n v="3"/>
    <x v="0"/>
    <s v="Life Sciences"/>
    <n v="1"/>
    <n v="727"/>
    <n v="3"/>
    <x v="0"/>
    <n v="39"/>
    <n v="3"/>
    <n v="3"/>
    <x v="7"/>
    <n v="4"/>
    <x v="0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  <x v="0"/>
    <x v="0"/>
    <x v="1"/>
  </r>
  <r>
    <x v="40"/>
    <x v="1"/>
    <s v="Travel_Rarely"/>
    <n v="703"/>
    <x v="0"/>
    <n v="14"/>
    <x v="2"/>
    <s v="Marketing"/>
    <n v="1"/>
    <n v="728"/>
    <n v="4"/>
    <x v="1"/>
    <n v="42"/>
    <n v="3"/>
    <n v="2"/>
    <x v="0"/>
    <n v="1"/>
    <x v="0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  <x v="1"/>
    <x v="3"/>
    <x v="0"/>
  </r>
  <r>
    <x v="32"/>
    <x v="1"/>
    <s v="Travel_Frequently"/>
    <n v="580"/>
    <x v="0"/>
    <n v="5"/>
    <x v="2"/>
    <s v="Life Sciences"/>
    <n v="1"/>
    <n v="729"/>
    <n v="4"/>
    <x v="1"/>
    <n v="48"/>
    <n v="2"/>
    <n v="3"/>
    <x v="0"/>
    <n v="1"/>
    <x v="1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  <x v="1"/>
    <x v="0"/>
    <x v="0"/>
  </r>
  <r>
    <x v="16"/>
    <x v="1"/>
    <s v="Travel_Rarely"/>
    <n v="970"/>
    <x v="1"/>
    <n v="7"/>
    <x v="3"/>
    <s v="Life Sciences"/>
    <n v="1"/>
    <n v="730"/>
    <n v="3"/>
    <x v="1"/>
    <n v="59"/>
    <n v="4"/>
    <n v="4"/>
    <x v="7"/>
    <n v="3"/>
    <x v="1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  <x v="1"/>
    <x v="0"/>
    <x v="1"/>
  </r>
  <r>
    <x v="0"/>
    <x v="1"/>
    <s v="Travel_Rarely"/>
    <n v="427"/>
    <x v="2"/>
    <n v="10"/>
    <x v="2"/>
    <s v="Human Resources"/>
    <n v="1"/>
    <n v="731"/>
    <n v="2"/>
    <x v="1"/>
    <n v="73"/>
    <n v="2"/>
    <n v="5"/>
    <x v="5"/>
    <n v="4"/>
    <x v="2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  <x v="1"/>
    <x v="5"/>
    <x v="2"/>
  </r>
  <r>
    <x v="42"/>
    <x v="1"/>
    <s v="Travel_Rarely"/>
    <n v="1179"/>
    <x v="0"/>
    <n v="16"/>
    <x v="2"/>
    <s v="Marketing"/>
    <n v="1"/>
    <n v="732"/>
    <n v="1"/>
    <x v="1"/>
    <n v="84"/>
    <n v="3"/>
    <n v="2"/>
    <x v="0"/>
    <n v="1"/>
    <x v="0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  <x v="1"/>
    <x v="3"/>
    <x v="0"/>
  </r>
  <r>
    <x v="4"/>
    <x v="1"/>
    <s v="Travel_Frequently"/>
    <n v="294"/>
    <x v="1"/>
    <n v="10"/>
    <x v="0"/>
    <s v="Life Sciences"/>
    <n v="1"/>
    <n v="733"/>
    <n v="4"/>
    <x v="1"/>
    <n v="32"/>
    <n v="3"/>
    <n v="3"/>
    <x v="3"/>
    <n v="1"/>
    <x v="2"/>
    <n v="8793"/>
    <n v="4809"/>
    <n v="1"/>
    <s v="Y"/>
    <s v="No"/>
    <n v="21"/>
    <n v="4"/>
    <n v="3"/>
    <n v="80"/>
    <n v="2"/>
    <n v="9"/>
    <n v="4"/>
    <n v="2"/>
    <n v="9"/>
    <n v="7"/>
    <n v="1"/>
    <n v="7"/>
    <m/>
    <x v="1"/>
    <x v="0"/>
    <x v="1"/>
  </r>
  <r>
    <x v="0"/>
    <x v="1"/>
    <s v="Travel_Rarely"/>
    <n v="314"/>
    <x v="2"/>
    <n v="1"/>
    <x v="3"/>
    <s v="Human Resources"/>
    <n v="1"/>
    <n v="734"/>
    <n v="4"/>
    <x v="1"/>
    <n v="59"/>
    <n v="2"/>
    <n v="5"/>
    <x v="5"/>
    <n v="3"/>
    <x v="1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  <x v="1"/>
    <x v="5"/>
    <x v="2"/>
  </r>
  <r>
    <x v="24"/>
    <x v="1"/>
    <s v="Travel_Rarely"/>
    <n v="316"/>
    <x v="0"/>
    <n v="8"/>
    <x v="2"/>
    <s v="Marketing"/>
    <n v="1"/>
    <n v="738"/>
    <n v="4"/>
    <x v="1"/>
    <n v="54"/>
    <n v="3"/>
    <n v="1"/>
    <x v="6"/>
    <n v="2"/>
    <x v="1"/>
    <n v="3875"/>
    <n v="9983"/>
    <n v="7"/>
    <s v="Y"/>
    <s v="No"/>
    <n v="15"/>
    <n v="3"/>
    <n v="4"/>
    <n v="80"/>
    <n v="1"/>
    <n v="4"/>
    <n v="2"/>
    <n v="3"/>
    <n v="2"/>
    <n v="2"/>
    <n v="2"/>
    <n v="2"/>
    <m/>
    <x v="1"/>
    <x v="3"/>
    <x v="0"/>
  </r>
  <r>
    <x v="14"/>
    <x v="0"/>
    <s v="Travel_Rarely"/>
    <n v="654"/>
    <x v="1"/>
    <n v="1"/>
    <x v="0"/>
    <s v="Life Sciences"/>
    <n v="1"/>
    <n v="741"/>
    <n v="1"/>
    <x v="0"/>
    <n v="67"/>
    <n v="1"/>
    <n v="1"/>
    <x v="1"/>
    <n v="2"/>
    <x v="0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  <x v="0"/>
    <x v="0"/>
    <x v="1"/>
  </r>
  <r>
    <x v="9"/>
    <x v="1"/>
    <s v="Non-Travel"/>
    <n v="427"/>
    <x v="1"/>
    <n v="8"/>
    <x v="3"/>
    <s v="Life Sciences"/>
    <n v="1"/>
    <n v="742"/>
    <n v="1"/>
    <x v="0"/>
    <n v="63"/>
    <n v="4"/>
    <n v="3"/>
    <x v="7"/>
    <n v="1"/>
    <x v="1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  <x v="0"/>
    <x v="0"/>
    <x v="1"/>
  </r>
  <r>
    <x v="8"/>
    <x v="1"/>
    <s v="Travel_Rarely"/>
    <n v="168"/>
    <x v="1"/>
    <n v="1"/>
    <x v="3"/>
    <s v="Life Sciences"/>
    <n v="1"/>
    <n v="743"/>
    <n v="3"/>
    <x v="0"/>
    <n v="81"/>
    <n v="3"/>
    <n v="3"/>
    <x v="3"/>
    <n v="3"/>
    <x v="0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  <x v="0"/>
    <x v="0"/>
    <x v="1"/>
  </r>
  <r>
    <x v="20"/>
    <x v="1"/>
    <s v="Non-Travel"/>
    <n v="381"/>
    <x v="1"/>
    <n v="24"/>
    <x v="3"/>
    <s v="Medical"/>
    <n v="1"/>
    <n v="744"/>
    <n v="1"/>
    <x v="1"/>
    <n v="49"/>
    <n v="1"/>
    <n v="1"/>
    <x v="2"/>
    <n v="3"/>
    <x v="0"/>
    <n v="3708"/>
    <n v="2104"/>
    <n v="2"/>
    <s v="Y"/>
    <s v="No"/>
    <n v="14"/>
    <n v="3"/>
    <n v="3"/>
    <n v="80"/>
    <n v="0"/>
    <n v="9"/>
    <n v="5"/>
    <n v="3"/>
    <n v="5"/>
    <n v="2"/>
    <n v="1"/>
    <n v="4"/>
    <m/>
    <x v="1"/>
    <x v="2"/>
    <x v="1"/>
  </r>
  <r>
    <x v="40"/>
    <x v="1"/>
    <s v="Travel_Frequently"/>
    <n v="217"/>
    <x v="0"/>
    <n v="3"/>
    <x v="3"/>
    <s v="Medical"/>
    <n v="1"/>
    <n v="746"/>
    <n v="4"/>
    <x v="0"/>
    <n v="49"/>
    <n v="3"/>
    <n v="4"/>
    <x v="0"/>
    <n v="3"/>
    <x v="2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  <x v="0"/>
    <x v="2"/>
    <x v="0"/>
  </r>
  <r>
    <x v="7"/>
    <x v="1"/>
    <s v="Travel_Rarely"/>
    <n v="501"/>
    <x v="0"/>
    <n v="27"/>
    <x v="4"/>
    <s v="Marketing"/>
    <n v="1"/>
    <n v="747"/>
    <n v="3"/>
    <x v="1"/>
    <n v="99"/>
    <n v="3"/>
    <n v="2"/>
    <x v="0"/>
    <n v="4"/>
    <x v="2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  <x v="1"/>
    <x v="3"/>
    <x v="0"/>
  </r>
  <r>
    <x v="11"/>
    <x v="1"/>
    <s v="Travel_Rarely"/>
    <n v="1396"/>
    <x v="0"/>
    <n v="10"/>
    <x v="3"/>
    <s v="Life Sciences"/>
    <n v="1"/>
    <n v="749"/>
    <n v="3"/>
    <x v="1"/>
    <n v="99"/>
    <n v="3"/>
    <n v="1"/>
    <x v="6"/>
    <n v="3"/>
    <x v="0"/>
    <n v="2642"/>
    <n v="2755"/>
    <n v="1"/>
    <s v="Y"/>
    <s v="No"/>
    <n v="11"/>
    <n v="3"/>
    <n v="3"/>
    <n v="80"/>
    <n v="0"/>
    <n v="1"/>
    <n v="6"/>
    <n v="3"/>
    <n v="1"/>
    <n v="0"/>
    <n v="0"/>
    <n v="0"/>
    <m/>
    <x v="1"/>
    <x v="0"/>
    <x v="0"/>
  </r>
  <r>
    <x v="19"/>
    <x v="0"/>
    <s v="Travel_Frequently"/>
    <n v="933"/>
    <x v="1"/>
    <n v="19"/>
    <x v="3"/>
    <s v="Medical"/>
    <n v="1"/>
    <n v="752"/>
    <n v="3"/>
    <x v="1"/>
    <n v="57"/>
    <n v="4"/>
    <n v="1"/>
    <x v="1"/>
    <n v="3"/>
    <x v="2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  <x v="1"/>
    <x v="2"/>
    <x v="1"/>
  </r>
  <r>
    <x v="23"/>
    <x v="1"/>
    <s v="Travel_Frequently"/>
    <n v="775"/>
    <x v="0"/>
    <n v="15"/>
    <x v="3"/>
    <s v="Life Sciences"/>
    <n v="1"/>
    <n v="754"/>
    <n v="4"/>
    <x v="1"/>
    <n v="47"/>
    <n v="2"/>
    <n v="2"/>
    <x v="0"/>
    <n v="4"/>
    <x v="1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  <x v="1"/>
    <x v="0"/>
    <x v="0"/>
  </r>
  <r>
    <x v="13"/>
    <x v="1"/>
    <s v="Travel_Rarely"/>
    <n v="970"/>
    <x v="1"/>
    <n v="8"/>
    <x v="0"/>
    <s v="Medical"/>
    <n v="1"/>
    <n v="757"/>
    <n v="2"/>
    <x v="0"/>
    <n v="96"/>
    <n v="3"/>
    <n v="2"/>
    <x v="4"/>
    <n v="3"/>
    <x v="0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  <x v="0"/>
    <x v="2"/>
    <x v="1"/>
  </r>
  <r>
    <x v="30"/>
    <x v="1"/>
    <s v="Travel_Rarely"/>
    <n v="650"/>
    <x v="1"/>
    <n v="9"/>
    <x v="1"/>
    <s v="Medical"/>
    <n v="1"/>
    <n v="758"/>
    <n v="2"/>
    <x v="1"/>
    <n v="37"/>
    <n v="3"/>
    <n v="1"/>
    <x v="2"/>
    <n v="1"/>
    <x v="1"/>
    <n v="2500"/>
    <n v="4344"/>
    <n v="1"/>
    <s v="Y"/>
    <s v="No"/>
    <n v="14"/>
    <n v="3"/>
    <n v="4"/>
    <n v="80"/>
    <n v="1"/>
    <n v="5"/>
    <n v="2"/>
    <n v="4"/>
    <n v="4"/>
    <n v="3"/>
    <n v="0"/>
    <n v="2"/>
    <m/>
    <x v="1"/>
    <x v="2"/>
    <x v="1"/>
  </r>
  <r>
    <x v="22"/>
    <x v="1"/>
    <s v="Travel_Rarely"/>
    <n v="141"/>
    <x v="2"/>
    <n v="3"/>
    <x v="3"/>
    <s v="Human Resources"/>
    <n v="1"/>
    <n v="760"/>
    <n v="3"/>
    <x v="0"/>
    <n v="44"/>
    <n v="4"/>
    <n v="2"/>
    <x v="8"/>
    <n v="2"/>
    <x v="1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  <x v="0"/>
    <x v="5"/>
    <x v="2"/>
  </r>
  <r>
    <x v="29"/>
    <x v="1"/>
    <s v="Travel_Rarely"/>
    <n v="832"/>
    <x v="1"/>
    <n v="9"/>
    <x v="3"/>
    <s v="Medical"/>
    <n v="1"/>
    <n v="762"/>
    <n v="3"/>
    <x v="1"/>
    <n v="81"/>
    <n v="3"/>
    <n v="4"/>
    <x v="4"/>
    <n v="4"/>
    <x v="1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  <x v="1"/>
    <x v="2"/>
    <x v="1"/>
  </r>
  <r>
    <x v="32"/>
    <x v="1"/>
    <s v="Travel_Rarely"/>
    <n v="804"/>
    <x v="1"/>
    <n v="2"/>
    <x v="1"/>
    <s v="Medical"/>
    <n v="1"/>
    <n v="763"/>
    <n v="4"/>
    <x v="0"/>
    <n v="86"/>
    <n v="2"/>
    <n v="1"/>
    <x v="1"/>
    <n v="4"/>
    <x v="0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  <x v="0"/>
    <x v="2"/>
    <x v="1"/>
  </r>
  <r>
    <x v="4"/>
    <x v="1"/>
    <s v="Travel_Rarely"/>
    <n v="975"/>
    <x v="1"/>
    <n v="7"/>
    <x v="3"/>
    <s v="Medical"/>
    <n v="1"/>
    <n v="764"/>
    <n v="4"/>
    <x v="0"/>
    <n v="55"/>
    <n v="2"/>
    <n v="2"/>
    <x v="4"/>
    <n v="1"/>
    <x v="0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  <x v="0"/>
    <x v="2"/>
    <x v="1"/>
  </r>
  <r>
    <x v="11"/>
    <x v="1"/>
    <s v="Travel_Rarely"/>
    <n v="1090"/>
    <x v="0"/>
    <n v="10"/>
    <x v="3"/>
    <s v="Marketing"/>
    <n v="1"/>
    <n v="766"/>
    <n v="4"/>
    <x v="1"/>
    <n v="83"/>
    <n v="3"/>
    <n v="1"/>
    <x v="6"/>
    <n v="2"/>
    <x v="2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  <x v="1"/>
    <x v="3"/>
    <x v="0"/>
  </r>
  <r>
    <x v="16"/>
    <x v="1"/>
    <s v="Travel_Rarely"/>
    <n v="346"/>
    <x v="1"/>
    <n v="6"/>
    <x v="3"/>
    <s v="Life Sciences"/>
    <n v="1"/>
    <n v="769"/>
    <n v="4"/>
    <x v="1"/>
    <n v="86"/>
    <n v="3"/>
    <n v="2"/>
    <x v="2"/>
    <n v="4"/>
    <x v="0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  <x v="1"/>
    <x v="0"/>
    <x v="1"/>
  </r>
  <r>
    <x v="10"/>
    <x v="1"/>
    <s v="Non-Travel"/>
    <n v="1225"/>
    <x v="1"/>
    <n v="2"/>
    <x v="2"/>
    <s v="Life Sciences"/>
    <n v="1"/>
    <n v="771"/>
    <n v="4"/>
    <x v="0"/>
    <n v="61"/>
    <n v="3"/>
    <n v="2"/>
    <x v="4"/>
    <n v="1"/>
    <x v="2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  <x v="0"/>
    <x v="0"/>
    <x v="1"/>
  </r>
  <r>
    <x v="5"/>
    <x v="1"/>
    <s v="Travel_Frequently"/>
    <n v="430"/>
    <x v="1"/>
    <n v="24"/>
    <x v="2"/>
    <s v="Life Sciences"/>
    <n v="1"/>
    <n v="772"/>
    <n v="1"/>
    <x v="1"/>
    <n v="80"/>
    <n v="3"/>
    <n v="2"/>
    <x v="2"/>
    <n v="4"/>
    <x v="1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  <x v="1"/>
    <x v="0"/>
    <x v="1"/>
  </r>
  <r>
    <x v="8"/>
    <x v="1"/>
    <s v="Travel_Rarely"/>
    <n v="268"/>
    <x v="1"/>
    <n v="2"/>
    <x v="4"/>
    <s v="Medical"/>
    <n v="1"/>
    <n v="773"/>
    <n v="4"/>
    <x v="1"/>
    <n v="92"/>
    <n v="3"/>
    <n v="1"/>
    <x v="1"/>
    <n v="3"/>
    <x v="1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  <x v="1"/>
    <x v="2"/>
    <x v="1"/>
  </r>
  <r>
    <x v="13"/>
    <x v="1"/>
    <s v="Travel_Rarely"/>
    <n v="167"/>
    <x v="1"/>
    <n v="8"/>
    <x v="4"/>
    <s v="Life Sciences"/>
    <n v="1"/>
    <n v="775"/>
    <n v="2"/>
    <x v="0"/>
    <n v="32"/>
    <n v="3"/>
    <n v="2"/>
    <x v="3"/>
    <n v="1"/>
    <x v="2"/>
    <n v="5121"/>
    <n v="4187"/>
    <n v="3"/>
    <s v="Y"/>
    <s v="No"/>
    <n v="14"/>
    <n v="3"/>
    <n v="3"/>
    <n v="80"/>
    <n v="1"/>
    <n v="7"/>
    <n v="3"/>
    <n v="3"/>
    <n v="0"/>
    <n v="0"/>
    <n v="0"/>
    <n v="0"/>
    <m/>
    <x v="0"/>
    <x v="0"/>
    <x v="1"/>
  </r>
  <r>
    <x v="39"/>
    <x v="1"/>
    <s v="Travel_Rarely"/>
    <n v="621"/>
    <x v="0"/>
    <n v="3"/>
    <x v="2"/>
    <s v="Marketing"/>
    <n v="1"/>
    <n v="776"/>
    <n v="3"/>
    <x v="1"/>
    <n v="31"/>
    <n v="2"/>
    <n v="4"/>
    <x v="5"/>
    <n v="1"/>
    <x v="1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  <x v="1"/>
    <x v="3"/>
    <x v="0"/>
  </r>
  <r>
    <x v="3"/>
    <x v="0"/>
    <s v="Travel_Rarely"/>
    <n v="527"/>
    <x v="1"/>
    <n v="1"/>
    <x v="2"/>
    <s v="Other"/>
    <n v="1"/>
    <n v="780"/>
    <n v="4"/>
    <x v="1"/>
    <n v="63"/>
    <n v="3"/>
    <n v="1"/>
    <x v="1"/>
    <n v="4"/>
    <x v="0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  <x v="1"/>
    <x v="1"/>
    <x v="1"/>
  </r>
  <r>
    <x v="36"/>
    <x v="1"/>
    <s v="Travel_Rarely"/>
    <n v="883"/>
    <x v="0"/>
    <n v="26"/>
    <x v="1"/>
    <s v="Medical"/>
    <n v="1"/>
    <n v="781"/>
    <n v="3"/>
    <x v="0"/>
    <n v="32"/>
    <n v="3"/>
    <n v="2"/>
    <x v="0"/>
    <n v="4"/>
    <x v="0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  <x v="0"/>
    <x v="2"/>
    <x v="0"/>
  </r>
  <r>
    <x v="28"/>
    <x v="1"/>
    <s v="Travel_Rarely"/>
    <n v="954"/>
    <x v="0"/>
    <n v="2"/>
    <x v="0"/>
    <s v="Technical Degree"/>
    <n v="1"/>
    <n v="783"/>
    <n v="2"/>
    <x v="1"/>
    <n v="46"/>
    <n v="1"/>
    <n v="2"/>
    <x v="6"/>
    <n v="3"/>
    <x v="0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  <x v="1"/>
    <x v="4"/>
    <x v="0"/>
  </r>
  <r>
    <x v="30"/>
    <x v="1"/>
    <s v="Travel_Rarely"/>
    <n v="310"/>
    <x v="1"/>
    <n v="10"/>
    <x v="1"/>
    <s v="Medical"/>
    <n v="1"/>
    <n v="784"/>
    <n v="1"/>
    <x v="1"/>
    <n v="79"/>
    <n v="4"/>
    <n v="1"/>
    <x v="1"/>
    <n v="3"/>
    <x v="0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  <x v="1"/>
    <x v="2"/>
    <x v="1"/>
  </r>
  <r>
    <x v="40"/>
    <x v="0"/>
    <s v="Travel_Frequently"/>
    <n v="719"/>
    <x v="0"/>
    <n v="27"/>
    <x v="0"/>
    <s v="Life Sciences"/>
    <n v="1"/>
    <n v="785"/>
    <n v="2"/>
    <x v="0"/>
    <n v="77"/>
    <n v="4"/>
    <n v="2"/>
    <x v="0"/>
    <n v="3"/>
    <x v="0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  <x v="0"/>
    <x v="0"/>
    <x v="0"/>
  </r>
  <r>
    <x v="13"/>
    <x v="1"/>
    <s v="Travel_Rarely"/>
    <n v="304"/>
    <x v="0"/>
    <n v="2"/>
    <x v="3"/>
    <s v="Other"/>
    <n v="1"/>
    <n v="786"/>
    <n v="4"/>
    <x v="1"/>
    <n v="60"/>
    <n v="3"/>
    <n v="2"/>
    <x v="0"/>
    <n v="4"/>
    <x v="0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  <x v="1"/>
    <x v="1"/>
    <x v="0"/>
  </r>
  <r>
    <x v="27"/>
    <x v="0"/>
    <s v="Travel_Rarely"/>
    <n v="725"/>
    <x v="1"/>
    <n v="2"/>
    <x v="3"/>
    <s v="Medical"/>
    <n v="1"/>
    <n v="787"/>
    <n v="4"/>
    <x v="1"/>
    <n v="78"/>
    <n v="3"/>
    <n v="5"/>
    <x v="5"/>
    <n v="1"/>
    <x v="1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  <x v="1"/>
    <x v="2"/>
    <x v="1"/>
  </r>
  <r>
    <x v="9"/>
    <x v="1"/>
    <s v="Non-Travel"/>
    <n v="1434"/>
    <x v="0"/>
    <n v="8"/>
    <x v="2"/>
    <s v="Life Sciences"/>
    <n v="1"/>
    <n v="789"/>
    <n v="1"/>
    <x v="1"/>
    <n v="76"/>
    <n v="2"/>
    <n v="3"/>
    <x v="0"/>
    <n v="1"/>
    <x v="0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  <x v="1"/>
    <x v="0"/>
    <x v="0"/>
  </r>
  <r>
    <x v="39"/>
    <x v="1"/>
    <s v="Non-Travel"/>
    <n v="715"/>
    <x v="1"/>
    <n v="19"/>
    <x v="2"/>
    <s v="Medical"/>
    <n v="1"/>
    <n v="791"/>
    <n v="4"/>
    <x v="1"/>
    <n v="41"/>
    <n v="3"/>
    <n v="1"/>
    <x v="1"/>
    <n v="4"/>
    <x v="1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  <x v="1"/>
    <x v="2"/>
    <x v="1"/>
  </r>
  <r>
    <x v="25"/>
    <x v="1"/>
    <s v="Travel_Frequently"/>
    <n v="575"/>
    <x v="1"/>
    <n v="1"/>
    <x v="0"/>
    <s v="Life Sciences"/>
    <n v="1"/>
    <n v="792"/>
    <n v="1"/>
    <x v="0"/>
    <n v="71"/>
    <n v="1"/>
    <n v="1"/>
    <x v="2"/>
    <n v="4"/>
    <x v="2"/>
    <n v="4364"/>
    <n v="5288"/>
    <n v="3"/>
    <s v="Y"/>
    <s v="No"/>
    <n v="14"/>
    <n v="3"/>
    <n v="1"/>
    <n v="80"/>
    <n v="1"/>
    <n v="5"/>
    <n v="2"/>
    <n v="3"/>
    <n v="2"/>
    <n v="2"/>
    <n v="2"/>
    <n v="0"/>
    <m/>
    <x v="0"/>
    <x v="0"/>
    <x v="1"/>
  </r>
  <r>
    <x v="11"/>
    <x v="1"/>
    <s v="Travel_Rarely"/>
    <n v="657"/>
    <x v="1"/>
    <n v="27"/>
    <x v="3"/>
    <s v="Medical"/>
    <n v="1"/>
    <n v="793"/>
    <n v="2"/>
    <x v="0"/>
    <n v="66"/>
    <n v="3"/>
    <n v="2"/>
    <x v="4"/>
    <n v="3"/>
    <x v="1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  <x v="0"/>
    <x v="2"/>
    <x v="1"/>
  </r>
  <r>
    <x v="25"/>
    <x v="0"/>
    <s v="Travel_Rarely"/>
    <n v="1146"/>
    <x v="0"/>
    <n v="8"/>
    <x v="3"/>
    <s v="Technical Degree"/>
    <n v="1"/>
    <n v="796"/>
    <n v="4"/>
    <x v="1"/>
    <n v="38"/>
    <n v="2"/>
    <n v="2"/>
    <x v="0"/>
    <n v="1"/>
    <x v="0"/>
    <n v="5326"/>
    <n v="3064"/>
    <n v="6"/>
    <s v="Y"/>
    <s v="No"/>
    <n v="17"/>
    <n v="3"/>
    <n v="3"/>
    <n v="80"/>
    <n v="0"/>
    <n v="6"/>
    <n v="2"/>
    <n v="2"/>
    <n v="4"/>
    <n v="3"/>
    <n v="1"/>
    <n v="2"/>
    <m/>
    <x v="1"/>
    <x v="4"/>
    <x v="0"/>
  </r>
  <r>
    <x v="13"/>
    <x v="1"/>
    <s v="Travel_Rarely"/>
    <n v="182"/>
    <x v="1"/>
    <n v="1"/>
    <x v="2"/>
    <s v="Life Sciences"/>
    <n v="1"/>
    <n v="797"/>
    <n v="2"/>
    <x v="0"/>
    <n v="72"/>
    <n v="4"/>
    <n v="1"/>
    <x v="1"/>
    <n v="4"/>
    <x v="0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  <x v="0"/>
    <x v="0"/>
    <x v="1"/>
  </r>
  <r>
    <x v="33"/>
    <x v="1"/>
    <s v="Travel_Rarely"/>
    <n v="376"/>
    <x v="1"/>
    <n v="19"/>
    <x v="2"/>
    <s v="Medical"/>
    <n v="1"/>
    <n v="799"/>
    <n v="4"/>
    <x v="0"/>
    <n v="95"/>
    <n v="3"/>
    <n v="2"/>
    <x v="3"/>
    <n v="1"/>
    <x v="2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  <x v="0"/>
    <x v="2"/>
    <x v="1"/>
  </r>
  <r>
    <x v="4"/>
    <x v="1"/>
    <s v="Travel_Frequently"/>
    <n v="829"/>
    <x v="0"/>
    <n v="8"/>
    <x v="1"/>
    <s v="Marketing"/>
    <n v="1"/>
    <n v="800"/>
    <n v="3"/>
    <x v="1"/>
    <n v="84"/>
    <n v="3"/>
    <n v="2"/>
    <x v="0"/>
    <n v="4"/>
    <x v="1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  <x v="1"/>
    <x v="3"/>
    <x v="0"/>
  </r>
  <r>
    <x v="2"/>
    <x v="1"/>
    <s v="Travel_Rarely"/>
    <n v="571"/>
    <x v="1"/>
    <n v="10"/>
    <x v="1"/>
    <s v="Life Sciences"/>
    <n v="1"/>
    <n v="802"/>
    <n v="4"/>
    <x v="0"/>
    <n v="82"/>
    <n v="3"/>
    <n v="1"/>
    <x v="1"/>
    <n v="1"/>
    <x v="2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  <x v="0"/>
    <x v="0"/>
    <x v="1"/>
  </r>
  <r>
    <x v="8"/>
    <x v="1"/>
    <s v="Travel_Frequently"/>
    <n v="240"/>
    <x v="1"/>
    <n v="2"/>
    <x v="2"/>
    <s v="Life Sciences"/>
    <n v="1"/>
    <n v="803"/>
    <n v="1"/>
    <x v="0"/>
    <n v="75"/>
    <n v="4"/>
    <n v="2"/>
    <x v="3"/>
    <n v="1"/>
    <x v="0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  <x v="0"/>
    <x v="0"/>
    <x v="1"/>
  </r>
  <r>
    <x v="13"/>
    <x v="1"/>
    <s v="Travel_Rarely"/>
    <n v="121"/>
    <x v="1"/>
    <n v="2"/>
    <x v="2"/>
    <s v="Medical"/>
    <n v="1"/>
    <n v="804"/>
    <n v="3"/>
    <x v="0"/>
    <n v="86"/>
    <n v="2"/>
    <n v="1"/>
    <x v="1"/>
    <n v="1"/>
    <x v="0"/>
    <n v="4381"/>
    <n v="7530"/>
    <n v="1"/>
    <s v="Y"/>
    <s v="No"/>
    <n v="11"/>
    <n v="3"/>
    <n v="3"/>
    <n v="80"/>
    <n v="0"/>
    <n v="6"/>
    <n v="3"/>
    <n v="3"/>
    <n v="6"/>
    <n v="5"/>
    <n v="1"/>
    <n v="3"/>
    <m/>
    <x v="0"/>
    <x v="2"/>
    <x v="1"/>
  </r>
  <r>
    <x v="10"/>
    <x v="1"/>
    <s v="Travel_Rarely"/>
    <n v="384"/>
    <x v="0"/>
    <n v="8"/>
    <x v="2"/>
    <s v="Life Sciences"/>
    <n v="1"/>
    <n v="805"/>
    <n v="1"/>
    <x v="0"/>
    <n v="72"/>
    <n v="3"/>
    <n v="1"/>
    <x v="6"/>
    <n v="4"/>
    <x v="1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  <x v="0"/>
    <x v="0"/>
    <x v="0"/>
  </r>
  <r>
    <x v="7"/>
    <x v="1"/>
    <s v="Travel_Rarely"/>
    <n v="921"/>
    <x v="1"/>
    <n v="1"/>
    <x v="3"/>
    <s v="Life Sciences"/>
    <n v="1"/>
    <n v="806"/>
    <n v="4"/>
    <x v="1"/>
    <n v="38"/>
    <n v="1"/>
    <n v="1"/>
    <x v="2"/>
    <n v="3"/>
    <x v="1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  <x v="1"/>
    <x v="0"/>
    <x v="1"/>
  </r>
  <r>
    <x v="32"/>
    <x v="1"/>
    <s v="Travel_Frequently"/>
    <n v="791"/>
    <x v="1"/>
    <n v="2"/>
    <x v="0"/>
    <s v="Medical"/>
    <n v="1"/>
    <n v="807"/>
    <n v="3"/>
    <x v="0"/>
    <n v="38"/>
    <n v="4"/>
    <n v="2"/>
    <x v="4"/>
    <n v="2"/>
    <x v="1"/>
    <n v="4244"/>
    <n v="9931"/>
    <n v="1"/>
    <s v="Y"/>
    <s v="No"/>
    <n v="24"/>
    <n v="4"/>
    <n v="4"/>
    <n v="80"/>
    <n v="1"/>
    <n v="8"/>
    <n v="2"/>
    <n v="3"/>
    <n v="8"/>
    <n v="7"/>
    <n v="3"/>
    <n v="7"/>
    <m/>
    <x v="0"/>
    <x v="2"/>
    <x v="1"/>
  </r>
  <r>
    <x v="13"/>
    <x v="1"/>
    <s v="Travel_Rarely"/>
    <n v="1111"/>
    <x v="0"/>
    <n v="8"/>
    <x v="0"/>
    <s v="Life Sciences"/>
    <n v="1"/>
    <n v="808"/>
    <n v="3"/>
    <x v="0"/>
    <n v="93"/>
    <n v="3"/>
    <n v="2"/>
    <x v="0"/>
    <n v="1"/>
    <x v="1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  <x v="0"/>
    <x v="0"/>
    <x v="0"/>
  </r>
  <r>
    <x v="19"/>
    <x v="1"/>
    <s v="Travel_Frequently"/>
    <n v="570"/>
    <x v="1"/>
    <n v="8"/>
    <x v="3"/>
    <s v="Life Sciences"/>
    <n v="1"/>
    <n v="809"/>
    <n v="2"/>
    <x v="1"/>
    <n v="66"/>
    <n v="3"/>
    <n v="5"/>
    <x v="5"/>
    <n v="4"/>
    <x v="2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  <x v="1"/>
    <x v="0"/>
    <x v="1"/>
  </r>
  <r>
    <x v="30"/>
    <x v="0"/>
    <s v="Travel_Rarely"/>
    <n v="1243"/>
    <x v="1"/>
    <n v="6"/>
    <x v="3"/>
    <s v="Life Sciences"/>
    <n v="1"/>
    <n v="811"/>
    <n v="3"/>
    <x v="1"/>
    <n v="63"/>
    <n v="4"/>
    <n v="1"/>
    <x v="2"/>
    <n v="1"/>
    <x v="1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  <x v="1"/>
    <x v="0"/>
    <x v="1"/>
  </r>
  <r>
    <x v="17"/>
    <x v="1"/>
    <s v="Non-Travel"/>
    <n v="1092"/>
    <x v="1"/>
    <n v="9"/>
    <x v="3"/>
    <s v="Life Sciences"/>
    <n v="1"/>
    <n v="812"/>
    <n v="3"/>
    <x v="1"/>
    <n v="60"/>
    <n v="2"/>
    <n v="1"/>
    <x v="2"/>
    <n v="2"/>
    <x v="2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  <x v="1"/>
    <x v="0"/>
    <x v="1"/>
  </r>
  <r>
    <x v="39"/>
    <x v="1"/>
    <s v="Travel_Rarely"/>
    <n v="1325"/>
    <x v="1"/>
    <n v="11"/>
    <x v="2"/>
    <s v="Life Sciences"/>
    <n v="1"/>
    <n v="813"/>
    <n v="4"/>
    <x v="0"/>
    <n v="82"/>
    <n v="3"/>
    <n v="2"/>
    <x v="2"/>
    <n v="3"/>
    <x v="1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  <x v="0"/>
    <x v="0"/>
    <x v="1"/>
  </r>
  <r>
    <x v="24"/>
    <x v="1"/>
    <s v="Travel_Rarely"/>
    <n v="691"/>
    <x v="1"/>
    <n v="2"/>
    <x v="3"/>
    <s v="Medical"/>
    <n v="1"/>
    <n v="815"/>
    <n v="3"/>
    <x v="1"/>
    <n v="64"/>
    <n v="3"/>
    <n v="4"/>
    <x v="7"/>
    <n v="3"/>
    <x v="1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  <x v="1"/>
    <x v="2"/>
    <x v="1"/>
  </r>
  <r>
    <x v="11"/>
    <x v="0"/>
    <s v="Travel_Rarely"/>
    <n v="805"/>
    <x v="1"/>
    <n v="1"/>
    <x v="0"/>
    <s v="Life Sciences"/>
    <n v="1"/>
    <n v="816"/>
    <n v="2"/>
    <x v="0"/>
    <n v="36"/>
    <n v="2"/>
    <n v="1"/>
    <x v="2"/>
    <n v="1"/>
    <x v="1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  <x v="0"/>
    <x v="0"/>
    <x v="1"/>
  </r>
  <r>
    <x v="3"/>
    <x v="1"/>
    <s v="Travel_Rarely"/>
    <n v="213"/>
    <x v="1"/>
    <n v="7"/>
    <x v="3"/>
    <s v="Medical"/>
    <n v="1"/>
    <n v="817"/>
    <n v="3"/>
    <x v="1"/>
    <n v="49"/>
    <n v="3"/>
    <n v="3"/>
    <x v="7"/>
    <n v="3"/>
    <x v="1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  <x v="1"/>
    <x v="2"/>
    <x v="1"/>
  </r>
  <r>
    <x v="3"/>
    <x v="0"/>
    <s v="Travel_Rarely"/>
    <n v="118"/>
    <x v="0"/>
    <n v="16"/>
    <x v="3"/>
    <s v="Marketing"/>
    <n v="1"/>
    <n v="819"/>
    <n v="1"/>
    <x v="0"/>
    <n v="69"/>
    <n v="3"/>
    <n v="2"/>
    <x v="0"/>
    <n v="1"/>
    <x v="0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  <x v="0"/>
    <x v="3"/>
    <x v="0"/>
  </r>
  <r>
    <x v="40"/>
    <x v="1"/>
    <s v="Travel_Rarely"/>
    <n v="202"/>
    <x v="1"/>
    <n v="2"/>
    <x v="0"/>
    <s v="Other"/>
    <n v="1"/>
    <n v="820"/>
    <n v="3"/>
    <x v="0"/>
    <n v="33"/>
    <n v="3"/>
    <n v="4"/>
    <x v="5"/>
    <n v="4"/>
    <x v="1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  <x v="0"/>
    <x v="1"/>
    <x v="1"/>
  </r>
  <r>
    <x v="9"/>
    <x v="1"/>
    <s v="Travel_Rarely"/>
    <n v="676"/>
    <x v="1"/>
    <n v="1"/>
    <x v="3"/>
    <s v="Other"/>
    <n v="1"/>
    <n v="823"/>
    <n v="3"/>
    <x v="0"/>
    <n v="35"/>
    <n v="3"/>
    <n v="2"/>
    <x v="3"/>
    <n v="2"/>
    <x v="1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  <x v="0"/>
    <x v="1"/>
    <x v="1"/>
  </r>
  <r>
    <x v="11"/>
    <x v="1"/>
    <s v="Travel_Rarely"/>
    <n v="1252"/>
    <x v="1"/>
    <n v="23"/>
    <x v="0"/>
    <s v="Life Sciences"/>
    <n v="1"/>
    <n v="824"/>
    <n v="3"/>
    <x v="1"/>
    <n v="81"/>
    <n v="4"/>
    <n v="1"/>
    <x v="1"/>
    <n v="3"/>
    <x v="1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  <x v="1"/>
    <x v="0"/>
    <x v="1"/>
  </r>
  <r>
    <x v="34"/>
    <x v="0"/>
    <s v="Travel_Rarely"/>
    <n v="286"/>
    <x v="1"/>
    <n v="2"/>
    <x v="2"/>
    <s v="Life Sciences"/>
    <n v="1"/>
    <n v="825"/>
    <n v="4"/>
    <x v="1"/>
    <n v="31"/>
    <n v="3"/>
    <n v="5"/>
    <x v="7"/>
    <n v="2"/>
    <x v="0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  <x v="1"/>
    <x v="0"/>
    <x v="1"/>
  </r>
  <r>
    <x v="10"/>
    <x v="1"/>
    <s v="Travel_Rarely"/>
    <n v="1258"/>
    <x v="1"/>
    <n v="1"/>
    <x v="2"/>
    <s v="Life Sciences"/>
    <n v="1"/>
    <n v="826"/>
    <n v="4"/>
    <x v="0"/>
    <n v="40"/>
    <n v="4"/>
    <n v="1"/>
    <x v="1"/>
    <n v="3"/>
    <x v="0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  <x v="0"/>
    <x v="0"/>
    <x v="1"/>
  </r>
  <r>
    <x v="19"/>
    <x v="1"/>
    <s v="Travel_Rarely"/>
    <n v="932"/>
    <x v="1"/>
    <n v="1"/>
    <x v="0"/>
    <s v="Life Sciences"/>
    <n v="1"/>
    <n v="827"/>
    <n v="4"/>
    <x v="0"/>
    <n v="43"/>
    <n v="2"/>
    <n v="2"/>
    <x v="3"/>
    <n v="4"/>
    <x v="1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  <x v="0"/>
    <x v="0"/>
    <x v="1"/>
  </r>
  <r>
    <x v="14"/>
    <x v="0"/>
    <s v="Travel_Rarely"/>
    <n v="890"/>
    <x v="1"/>
    <n v="2"/>
    <x v="2"/>
    <s v="Medical"/>
    <n v="1"/>
    <n v="828"/>
    <n v="3"/>
    <x v="1"/>
    <n v="46"/>
    <n v="3"/>
    <n v="1"/>
    <x v="1"/>
    <n v="3"/>
    <x v="0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  <x v="1"/>
    <x v="2"/>
    <x v="1"/>
  </r>
  <r>
    <x v="9"/>
    <x v="1"/>
    <s v="Travel_Rarely"/>
    <n v="1041"/>
    <x v="2"/>
    <n v="13"/>
    <x v="3"/>
    <s v="Human Resources"/>
    <n v="1"/>
    <n v="829"/>
    <n v="3"/>
    <x v="1"/>
    <n v="36"/>
    <n v="3"/>
    <n v="1"/>
    <x v="8"/>
    <n v="2"/>
    <x v="1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  <x v="1"/>
    <x v="5"/>
    <x v="2"/>
  </r>
  <r>
    <x v="5"/>
    <x v="1"/>
    <s v="Travel_Rarely"/>
    <n v="859"/>
    <x v="1"/>
    <n v="4"/>
    <x v="3"/>
    <s v="Life Sciences"/>
    <n v="1"/>
    <n v="830"/>
    <n v="3"/>
    <x v="0"/>
    <n v="98"/>
    <n v="2"/>
    <n v="2"/>
    <x v="3"/>
    <n v="3"/>
    <x v="1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  <x v="0"/>
    <x v="0"/>
    <x v="1"/>
  </r>
  <r>
    <x v="32"/>
    <x v="1"/>
    <s v="Travel_Frequently"/>
    <n v="720"/>
    <x v="1"/>
    <n v="16"/>
    <x v="2"/>
    <s v="Medical"/>
    <n v="1"/>
    <n v="832"/>
    <n v="1"/>
    <x v="1"/>
    <n v="51"/>
    <n v="2"/>
    <n v="2"/>
    <x v="2"/>
    <n v="3"/>
    <x v="0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  <x v="1"/>
    <x v="2"/>
    <x v="1"/>
  </r>
  <r>
    <x v="7"/>
    <x v="1"/>
    <s v="Travel_Rarely"/>
    <n v="946"/>
    <x v="1"/>
    <n v="2"/>
    <x v="3"/>
    <s v="Medical"/>
    <n v="1"/>
    <n v="833"/>
    <n v="3"/>
    <x v="0"/>
    <n v="52"/>
    <n v="2"/>
    <n v="2"/>
    <x v="3"/>
    <n v="4"/>
    <x v="0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  <x v="0"/>
    <x v="2"/>
    <x v="1"/>
  </r>
  <r>
    <x v="28"/>
    <x v="1"/>
    <s v="Travel_Rarely"/>
    <n v="252"/>
    <x v="1"/>
    <n v="2"/>
    <x v="3"/>
    <s v="Life Sciences"/>
    <n v="1"/>
    <n v="834"/>
    <n v="2"/>
    <x v="0"/>
    <n v="95"/>
    <n v="2"/>
    <n v="1"/>
    <x v="1"/>
    <n v="3"/>
    <x v="0"/>
    <n v="2274"/>
    <n v="6153"/>
    <n v="1"/>
    <s v="Y"/>
    <s v="No"/>
    <n v="14"/>
    <n v="3"/>
    <n v="4"/>
    <n v="80"/>
    <n v="0"/>
    <n v="1"/>
    <n v="3"/>
    <n v="3"/>
    <n v="1"/>
    <n v="0"/>
    <n v="0"/>
    <n v="0"/>
    <m/>
    <x v="0"/>
    <x v="0"/>
    <x v="1"/>
  </r>
  <r>
    <x v="19"/>
    <x v="1"/>
    <s v="Travel_Rarely"/>
    <n v="933"/>
    <x v="1"/>
    <n v="29"/>
    <x v="3"/>
    <s v="Life Sciences"/>
    <n v="1"/>
    <n v="836"/>
    <n v="2"/>
    <x v="1"/>
    <n v="98"/>
    <n v="3"/>
    <n v="2"/>
    <x v="3"/>
    <n v="2"/>
    <x v="1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  <x v="1"/>
    <x v="0"/>
    <x v="1"/>
  </r>
  <r>
    <x v="8"/>
    <x v="1"/>
    <s v="Travel_Frequently"/>
    <n v="471"/>
    <x v="1"/>
    <n v="12"/>
    <x v="3"/>
    <s v="Life Sciences"/>
    <n v="1"/>
    <n v="837"/>
    <n v="1"/>
    <x v="1"/>
    <n v="45"/>
    <n v="2"/>
    <n v="2"/>
    <x v="4"/>
    <n v="1"/>
    <x v="2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  <x v="1"/>
    <x v="0"/>
    <x v="1"/>
  </r>
  <r>
    <x v="13"/>
    <x v="1"/>
    <s v="Travel_Frequently"/>
    <n v="702"/>
    <x v="1"/>
    <n v="16"/>
    <x v="2"/>
    <s v="Life Sciences"/>
    <n v="1"/>
    <n v="838"/>
    <n v="3"/>
    <x v="0"/>
    <n v="100"/>
    <n v="2"/>
    <n v="1"/>
    <x v="1"/>
    <n v="4"/>
    <x v="0"/>
    <n v="2553"/>
    <n v="8306"/>
    <n v="1"/>
    <s v="Y"/>
    <s v="No"/>
    <n v="16"/>
    <n v="3"/>
    <n v="3"/>
    <n v="80"/>
    <n v="0"/>
    <n v="6"/>
    <n v="3"/>
    <n v="3"/>
    <n v="5"/>
    <n v="2"/>
    <n v="1"/>
    <n v="3"/>
    <m/>
    <x v="0"/>
    <x v="0"/>
    <x v="1"/>
  </r>
  <r>
    <x v="1"/>
    <x v="0"/>
    <s v="Travel_Rarely"/>
    <n v="1184"/>
    <x v="0"/>
    <n v="11"/>
    <x v="3"/>
    <s v="Marketing"/>
    <n v="1"/>
    <n v="840"/>
    <n v="3"/>
    <x v="0"/>
    <n v="43"/>
    <n v="3"/>
    <n v="3"/>
    <x v="0"/>
    <n v="4"/>
    <x v="1"/>
    <n v="7654"/>
    <n v="5860"/>
    <n v="1"/>
    <s v="Y"/>
    <s v="No"/>
    <n v="18"/>
    <n v="3"/>
    <n v="1"/>
    <n v="80"/>
    <n v="2"/>
    <n v="9"/>
    <n v="3"/>
    <n v="4"/>
    <n v="9"/>
    <n v="8"/>
    <n v="7"/>
    <n v="7"/>
    <m/>
    <x v="0"/>
    <x v="3"/>
    <x v="0"/>
  </r>
  <r>
    <x v="27"/>
    <x v="0"/>
    <s v="Travel_Rarely"/>
    <n v="436"/>
    <x v="0"/>
    <n v="2"/>
    <x v="1"/>
    <s v="Medical"/>
    <n v="1"/>
    <n v="842"/>
    <n v="3"/>
    <x v="1"/>
    <n v="37"/>
    <n v="3"/>
    <n v="2"/>
    <x v="0"/>
    <n v="4"/>
    <x v="0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  <x v="1"/>
    <x v="2"/>
    <x v="0"/>
  </r>
  <r>
    <x v="23"/>
    <x v="1"/>
    <s v="Travel_Rarely"/>
    <n v="589"/>
    <x v="1"/>
    <n v="14"/>
    <x v="0"/>
    <s v="Life Sciences"/>
    <n v="1"/>
    <n v="843"/>
    <n v="2"/>
    <x v="1"/>
    <n v="94"/>
    <n v="3"/>
    <n v="4"/>
    <x v="7"/>
    <n v="1"/>
    <x v="1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  <x v="1"/>
    <x v="0"/>
    <x v="1"/>
  </r>
  <r>
    <x v="4"/>
    <x v="1"/>
    <s v="Travel_Rarely"/>
    <n v="269"/>
    <x v="1"/>
    <n v="5"/>
    <x v="1"/>
    <s v="Technical Degree"/>
    <n v="1"/>
    <n v="844"/>
    <n v="3"/>
    <x v="1"/>
    <n v="42"/>
    <n v="2"/>
    <n v="3"/>
    <x v="7"/>
    <n v="4"/>
    <x v="2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  <x v="1"/>
    <x v="4"/>
    <x v="1"/>
  </r>
  <r>
    <x v="10"/>
    <x v="1"/>
    <s v="Travel_Rarely"/>
    <n v="950"/>
    <x v="1"/>
    <n v="7"/>
    <x v="3"/>
    <s v="Other"/>
    <n v="1"/>
    <n v="845"/>
    <n v="3"/>
    <x v="1"/>
    <n v="59"/>
    <n v="3"/>
    <n v="3"/>
    <x v="3"/>
    <n v="3"/>
    <x v="0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  <x v="1"/>
    <x v="1"/>
    <x v="1"/>
  </r>
  <r>
    <x v="14"/>
    <x v="1"/>
    <s v="Travel_Rarely"/>
    <n v="760"/>
    <x v="0"/>
    <n v="2"/>
    <x v="2"/>
    <s v="Marketing"/>
    <n v="1"/>
    <n v="846"/>
    <n v="2"/>
    <x v="0"/>
    <n v="81"/>
    <n v="3"/>
    <n v="2"/>
    <x v="0"/>
    <n v="2"/>
    <x v="1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  <x v="0"/>
    <x v="3"/>
    <x v="0"/>
  </r>
  <r>
    <x v="13"/>
    <x v="1"/>
    <s v="Travel_Rarely"/>
    <n v="829"/>
    <x v="2"/>
    <n v="3"/>
    <x v="0"/>
    <s v="Human Resources"/>
    <n v="1"/>
    <n v="847"/>
    <n v="3"/>
    <x v="1"/>
    <n v="88"/>
    <n v="3"/>
    <n v="1"/>
    <x v="8"/>
    <n v="4"/>
    <x v="1"/>
    <n v="3737"/>
    <n v="2243"/>
    <n v="0"/>
    <s v="Y"/>
    <s v="No"/>
    <n v="19"/>
    <n v="3"/>
    <n v="3"/>
    <n v="80"/>
    <n v="1"/>
    <n v="4"/>
    <n v="1"/>
    <n v="1"/>
    <n v="3"/>
    <n v="2"/>
    <n v="0"/>
    <n v="2"/>
    <m/>
    <x v="1"/>
    <x v="5"/>
    <x v="2"/>
  </r>
  <r>
    <x v="25"/>
    <x v="0"/>
    <s v="Travel_Frequently"/>
    <n v="887"/>
    <x v="1"/>
    <n v="5"/>
    <x v="0"/>
    <s v="Medical"/>
    <n v="1"/>
    <n v="848"/>
    <n v="3"/>
    <x v="0"/>
    <n v="88"/>
    <n v="2"/>
    <n v="1"/>
    <x v="1"/>
    <n v="3"/>
    <x v="1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  <x v="0"/>
    <x v="2"/>
    <x v="1"/>
  </r>
  <r>
    <x v="4"/>
    <x v="1"/>
    <s v="Non-Travel"/>
    <n v="443"/>
    <x v="1"/>
    <n v="3"/>
    <x v="3"/>
    <s v="Medical"/>
    <n v="1"/>
    <n v="850"/>
    <n v="4"/>
    <x v="1"/>
    <n v="50"/>
    <n v="3"/>
    <n v="1"/>
    <x v="1"/>
    <n v="4"/>
    <x v="1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  <x v="1"/>
    <x v="2"/>
    <x v="1"/>
  </r>
  <r>
    <x v="31"/>
    <x v="1"/>
    <s v="Travel_Rarely"/>
    <n v="1318"/>
    <x v="0"/>
    <n v="26"/>
    <x v="2"/>
    <s v="Marketing"/>
    <n v="1"/>
    <n v="851"/>
    <n v="1"/>
    <x v="0"/>
    <n v="66"/>
    <n v="3"/>
    <n v="4"/>
    <x v="5"/>
    <n v="3"/>
    <x v="1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  <x v="0"/>
    <x v="3"/>
    <x v="0"/>
  </r>
  <r>
    <x v="20"/>
    <x v="1"/>
    <s v="Travel_Rarely"/>
    <n v="625"/>
    <x v="1"/>
    <n v="4"/>
    <x v="3"/>
    <s v="Medical"/>
    <n v="1"/>
    <n v="852"/>
    <n v="4"/>
    <x v="1"/>
    <n v="50"/>
    <n v="3"/>
    <n v="2"/>
    <x v="4"/>
    <n v="2"/>
    <x v="0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  <x v="1"/>
    <x v="2"/>
    <x v="1"/>
  </r>
  <r>
    <x v="36"/>
    <x v="1"/>
    <s v="Travel_Rarely"/>
    <n v="180"/>
    <x v="1"/>
    <n v="2"/>
    <x v="1"/>
    <s v="Medical"/>
    <n v="1"/>
    <n v="854"/>
    <n v="1"/>
    <x v="1"/>
    <n v="65"/>
    <n v="4"/>
    <n v="1"/>
    <x v="1"/>
    <n v="1"/>
    <x v="0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  <x v="1"/>
    <x v="2"/>
    <x v="1"/>
  </r>
  <r>
    <x v="3"/>
    <x v="1"/>
    <s v="Travel_Rarely"/>
    <n v="586"/>
    <x v="0"/>
    <n v="1"/>
    <x v="3"/>
    <s v="Medical"/>
    <n v="1"/>
    <n v="855"/>
    <n v="1"/>
    <x v="1"/>
    <n v="48"/>
    <n v="4"/>
    <n v="2"/>
    <x v="0"/>
    <n v="1"/>
    <x v="2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  <x v="1"/>
    <x v="2"/>
    <x v="0"/>
  </r>
  <r>
    <x v="10"/>
    <x v="1"/>
    <s v="Travel_Rarely"/>
    <n v="1343"/>
    <x v="1"/>
    <n v="27"/>
    <x v="1"/>
    <s v="Medical"/>
    <n v="1"/>
    <n v="856"/>
    <n v="3"/>
    <x v="0"/>
    <n v="53"/>
    <n v="2"/>
    <n v="1"/>
    <x v="1"/>
    <n v="1"/>
    <x v="0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  <x v="0"/>
    <x v="2"/>
    <x v="1"/>
  </r>
  <r>
    <x v="9"/>
    <x v="1"/>
    <s v="Travel_Rarely"/>
    <n v="928"/>
    <x v="0"/>
    <n v="1"/>
    <x v="0"/>
    <s v="Life Sciences"/>
    <n v="1"/>
    <n v="857"/>
    <n v="2"/>
    <x v="1"/>
    <n v="56"/>
    <n v="3"/>
    <n v="2"/>
    <x v="0"/>
    <n v="4"/>
    <x v="1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  <x v="1"/>
    <x v="0"/>
    <x v="0"/>
  </r>
  <r>
    <x v="5"/>
    <x v="1"/>
    <s v="Travel_Rarely"/>
    <n v="117"/>
    <x v="0"/>
    <n v="13"/>
    <x v="2"/>
    <s v="Life Sciences"/>
    <n v="1"/>
    <n v="859"/>
    <n v="2"/>
    <x v="1"/>
    <n v="73"/>
    <n v="3"/>
    <n v="2"/>
    <x v="0"/>
    <n v="4"/>
    <x v="2"/>
    <n v="4403"/>
    <n v="9250"/>
    <n v="2"/>
    <s v="Y"/>
    <s v="No"/>
    <n v="11"/>
    <n v="3"/>
    <n v="3"/>
    <n v="80"/>
    <n v="1"/>
    <n v="8"/>
    <n v="3"/>
    <n v="2"/>
    <n v="5"/>
    <n v="2"/>
    <n v="0"/>
    <n v="3"/>
    <m/>
    <x v="1"/>
    <x v="0"/>
    <x v="0"/>
  </r>
  <r>
    <x v="7"/>
    <x v="1"/>
    <s v="Travel_Frequently"/>
    <n v="1012"/>
    <x v="1"/>
    <n v="5"/>
    <x v="2"/>
    <s v="Life Sciences"/>
    <n v="1"/>
    <n v="861"/>
    <n v="2"/>
    <x v="1"/>
    <n v="75"/>
    <n v="2"/>
    <n v="1"/>
    <x v="1"/>
    <n v="4"/>
    <x v="2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  <x v="1"/>
    <x v="0"/>
    <x v="1"/>
  </r>
  <r>
    <x v="16"/>
    <x v="1"/>
    <s v="Travel_Rarely"/>
    <n v="661"/>
    <x v="0"/>
    <n v="7"/>
    <x v="0"/>
    <s v="Marketing"/>
    <n v="1"/>
    <n v="862"/>
    <n v="1"/>
    <x v="0"/>
    <n v="78"/>
    <n v="2"/>
    <n v="3"/>
    <x v="0"/>
    <n v="4"/>
    <x v="1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  <x v="0"/>
    <x v="3"/>
    <x v="0"/>
  </r>
  <r>
    <x v="28"/>
    <x v="1"/>
    <s v="Travel_Rarely"/>
    <n v="930"/>
    <x v="0"/>
    <n v="9"/>
    <x v="3"/>
    <s v="Marketing"/>
    <n v="1"/>
    <n v="864"/>
    <n v="4"/>
    <x v="1"/>
    <n v="74"/>
    <n v="3"/>
    <n v="3"/>
    <x v="0"/>
    <n v="1"/>
    <x v="2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  <x v="1"/>
    <x v="3"/>
    <x v="0"/>
  </r>
  <r>
    <x v="5"/>
    <x v="1"/>
    <s v="Travel_Rarely"/>
    <n v="638"/>
    <x v="1"/>
    <n v="8"/>
    <x v="0"/>
    <s v="Medical"/>
    <n v="1"/>
    <n v="865"/>
    <n v="3"/>
    <x v="0"/>
    <n v="91"/>
    <n v="4"/>
    <n v="2"/>
    <x v="1"/>
    <n v="3"/>
    <x v="1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  <x v="0"/>
    <x v="2"/>
    <x v="1"/>
  </r>
  <r>
    <x v="39"/>
    <x v="1"/>
    <s v="Travel_Frequently"/>
    <n v="890"/>
    <x v="1"/>
    <n v="25"/>
    <x v="2"/>
    <s v="Medical"/>
    <n v="1"/>
    <n v="867"/>
    <n v="3"/>
    <x v="0"/>
    <n v="81"/>
    <n v="2"/>
    <n v="4"/>
    <x v="3"/>
    <n v="4"/>
    <x v="1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  <x v="0"/>
    <x v="2"/>
    <x v="1"/>
  </r>
  <r>
    <x v="2"/>
    <x v="1"/>
    <s v="Travel_Rarely"/>
    <n v="342"/>
    <x v="0"/>
    <n v="16"/>
    <x v="2"/>
    <s v="Marketing"/>
    <n v="1"/>
    <n v="868"/>
    <n v="4"/>
    <x v="1"/>
    <n v="66"/>
    <n v="2"/>
    <n v="2"/>
    <x v="0"/>
    <n v="3"/>
    <x v="2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  <x v="1"/>
    <x v="3"/>
    <x v="0"/>
  </r>
  <r>
    <x v="14"/>
    <x v="1"/>
    <s v="Travel_Rarely"/>
    <n v="1169"/>
    <x v="2"/>
    <n v="8"/>
    <x v="0"/>
    <s v="Medical"/>
    <n v="1"/>
    <n v="869"/>
    <n v="2"/>
    <x v="1"/>
    <n v="63"/>
    <n v="2"/>
    <n v="1"/>
    <x v="8"/>
    <n v="4"/>
    <x v="2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  <x v="1"/>
    <x v="2"/>
    <x v="2"/>
  </r>
  <r>
    <x v="15"/>
    <x v="1"/>
    <s v="Travel_Rarely"/>
    <n v="1230"/>
    <x v="1"/>
    <n v="1"/>
    <x v="0"/>
    <s v="Life Sciences"/>
    <n v="1"/>
    <n v="872"/>
    <n v="4"/>
    <x v="1"/>
    <n v="33"/>
    <n v="2"/>
    <n v="2"/>
    <x v="3"/>
    <n v="4"/>
    <x v="1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  <x v="1"/>
    <x v="0"/>
    <x v="1"/>
  </r>
  <r>
    <x v="20"/>
    <x v="1"/>
    <s v="Travel_Rarely"/>
    <n v="986"/>
    <x v="1"/>
    <n v="8"/>
    <x v="2"/>
    <s v="Life Sciences"/>
    <n v="1"/>
    <n v="874"/>
    <n v="1"/>
    <x v="1"/>
    <n v="62"/>
    <n v="4"/>
    <n v="1"/>
    <x v="2"/>
    <n v="4"/>
    <x v="1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  <x v="1"/>
    <x v="0"/>
    <x v="1"/>
  </r>
  <r>
    <x v="19"/>
    <x v="1"/>
    <s v="Travel_Frequently"/>
    <n v="1271"/>
    <x v="1"/>
    <n v="2"/>
    <x v="1"/>
    <s v="Medical"/>
    <n v="1"/>
    <n v="875"/>
    <n v="2"/>
    <x v="1"/>
    <n v="35"/>
    <n v="3"/>
    <n v="1"/>
    <x v="1"/>
    <n v="4"/>
    <x v="0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  <x v="1"/>
    <x v="2"/>
    <x v="1"/>
  </r>
  <r>
    <x v="9"/>
    <x v="1"/>
    <s v="Travel_Rarely"/>
    <n v="1278"/>
    <x v="2"/>
    <n v="8"/>
    <x v="3"/>
    <s v="Life Sciences"/>
    <n v="1"/>
    <n v="878"/>
    <n v="1"/>
    <x v="1"/>
    <n v="77"/>
    <n v="2"/>
    <n v="1"/>
    <x v="8"/>
    <n v="1"/>
    <x v="1"/>
    <n v="2342"/>
    <n v="8635"/>
    <n v="0"/>
    <s v="Y"/>
    <s v="No"/>
    <n v="21"/>
    <n v="4"/>
    <n v="3"/>
    <n v="80"/>
    <n v="0"/>
    <n v="6"/>
    <n v="3"/>
    <n v="3"/>
    <n v="5"/>
    <n v="4"/>
    <n v="0"/>
    <n v="3"/>
    <m/>
    <x v="1"/>
    <x v="0"/>
    <x v="2"/>
  </r>
  <r>
    <x v="36"/>
    <x v="1"/>
    <s v="Travel_Rarely"/>
    <n v="141"/>
    <x v="0"/>
    <n v="3"/>
    <x v="1"/>
    <s v="Other"/>
    <n v="1"/>
    <n v="879"/>
    <n v="3"/>
    <x v="1"/>
    <n v="98"/>
    <n v="3"/>
    <n v="2"/>
    <x v="0"/>
    <n v="1"/>
    <x v="1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  <x v="1"/>
    <x v="1"/>
    <x v="0"/>
  </r>
  <r>
    <x v="10"/>
    <x v="1"/>
    <s v="Travel_Rarely"/>
    <n v="607"/>
    <x v="1"/>
    <n v="9"/>
    <x v="3"/>
    <s v="Life Sciences"/>
    <n v="1"/>
    <n v="880"/>
    <n v="4"/>
    <x v="0"/>
    <n v="66"/>
    <n v="2"/>
    <n v="3"/>
    <x v="3"/>
    <n v="3"/>
    <x v="1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  <x v="0"/>
    <x v="0"/>
    <x v="1"/>
  </r>
  <r>
    <x v="10"/>
    <x v="0"/>
    <s v="Travel_Frequently"/>
    <n v="130"/>
    <x v="1"/>
    <n v="25"/>
    <x v="2"/>
    <s v="Life Sciences"/>
    <n v="1"/>
    <n v="881"/>
    <n v="4"/>
    <x v="0"/>
    <n v="96"/>
    <n v="3"/>
    <n v="1"/>
    <x v="1"/>
    <n v="2"/>
    <x v="2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  <x v="0"/>
    <x v="0"/>
    <x v="1"/>
  </r>
  <r>
    <x v="5"/>
    <x v="1"/>
    <s v="Non-Travel"/>
    <n v="300"/>
    <x v="1"/>
    <n v="1"/>
    <x v="3"/>
    <s v="Life Sciences"/>
    <n v="1"/>
    <n v="882"/>
    <n v="4"/>
    <x v="1"/>
    <n v="61"/>
    <n v="3"/>
    <n v="1"/>
    <x v="2"/>
    <n v="4"/>
    <x v="2"/>
    <n v="2314"/>
    <n v="9148"/>
    <n v="0"/>
    <s v="Y"/>
    <s v="No"/>
    <n v="12"/>
    <n v="3"/>
    <n v="2"/>
    <n v="80"/>
    <n v="1"/>
    <n v="4"/>
    <n v="2"/>
    <n v="3"/>
    <n v="3"/>
    <n v="0"/>
    <n v="0"/>
    <n v="2"/>
    <m/>
    <x v="1"/>
    <x v="0"/>
    <x v="1"/>
  </r>
  <r>
    <x v="36"/>
    <x v="1"/>
    <s v="Travel_Rarely"/>
    <n v="583"/>
    <x v="0"/>
    <n v="4"/>
    <x v="1"/>
    <s v="Marketing"/>
    <n v="1"/>
    <n v="885"/>
    <n v="3"/>
    <x v="1"/>
    <n v="87"/>
    <n v="2"/>
    <n v="2"/>
    <x v="0"/>
    <n v="1"/>
    <x v="1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  <x v="1"/>
    <x v="3"/>
    <x v="0"/>
  </r>
  <r>
    <x v="1"/>
    <x v="1"/>
    <s v="Travel_Rarely"/>
    <n v="1418"/>
    <x v="1"/>
    <n v="1"/>
    <x v="3"/>
    <s v="Technical Degree"/>
    <n v="1"/>
    <n v="887"/>
    <n v="3"/>
    <x v="0"/>
    <n v="36"/>
    <n v="3"/>
    <n v="1"/>
    <x v="1"/>
    <n v="1"/>
    <x v="1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  <x v="0"/>
    <x v="4"/>
    <x v="1"/>
  </r>
  <r>
    <x v="17"/>
    <x v="1"/>
    <s v="Non-Travel"/>
    <n v="1269"/>
    <x v="1"/>
    <n v="4"/>
    <x v="1"/>
    <s v="Life Sciences"/>
    <n v="1"/>
    <n v="888"/>
    <n v="1"/>
    <x v="1"/>
    <n v="46"/>
    <n v="2"/>
    <n v="1"/>
    <x v="2"/>
    <n v="4"/>
    <x v="1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  <x v="1"/>
    <x v="0"/>
    <x v="1"/>
  </r>
  <r>
    <x v="5"/>
    <x v="1"/>
    <s v="Travel_Frequently"/>
    <n v="379"/>
    <x v="0"/>
    <n v="5"/>
    <x v="0"/>
    <s v="Life Sciences"/>
    <n v="1"/>
    <n v="889"/>
    <n v="2"/>
    <x v="1"/>
    <n v="48"/>
    <n v="3"/>
    <n v="2"/>
    <x v="0"/>
    <n v="2"/>
    <x v="1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  <x v="1"/>
    <x v="0"/>
    <x v="0"/>
  </r>
  <r>
    <x v="8"/>
    <x v="1"/>
    <s v="Travel_Rarely"/>
    <n v="395"/>
    <x v="0"/>
    <n v="9"/>
    <x v="3"/>
    <s v="Marketing"/>
    <n v="1"/>
    <n v="893"/>
    <n v="2"/>
    <x v="1"/>
    <n v="98"/>
    <n v="2"/>
    <n v="1"/>
    <x v="6"/>
    <n v="2"/>
    <x v="1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  <x v="1"/>
    <x v="3"/>
    <x v="0"/>
  </r>
  <r>
    <x v="19"/>
    <x v="1"/>
    <s v="Travel_Rarely"/>
    <n v="1265"/>
    <x v="1"/>
    <n v="3"/>
    <x v="3"/>
    <s v="Life Sciences"/>
    <n v="1"/>
    <n v="894"/>
    <n v="3"/>
    <x v="0"/>
    <n v="95"/>
    <n v="4"/>
    <n v="2"/>
    <x v="2"/>
    <n v="4"/>
    <x v="1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  <x v="0"/>
    <x v="0"/>
    <x v="1"/>
  </r>
  <r>
    <x v="12"/>
    <x v="1"/>
    <s v="Travel_Rarely"/>
    <n v="1222"/>
    <x v="1"/>
    <n v="11"/>
    <x v="2"/>
    <s v="Life Sciences"/>
    <n v="1"/>
    <n v="895"/>
    <n v="4"/>
    <x v="1"/>
    <n v="48"/>
    <n v="3"/>
    <n v="1"/>
    <x v="1"/>
    <n v="4"/>
    <x v="1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  <x v="1"/>
    <x v="0"/>
    <x v="1"/>
  </r>
  <r>
    <x v="11"/>
    <x v="0"/>
    <s v="Travel_Rarely"/>
    <n v="341"/>
    <x v="0"/>
    <n v="1"/>
    <x v="3"/>
    <s v="Medical"/>
    <n v="1"/>
    <n v="896"/>
    <n v="2"/>
    <x v="0"/>
    <n v="48"/>
    <n v="2"/>
    <n v="1"/>
    <x v="6"/>
    <n v="3"/>
    <x v="2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  <x v="0"/>
    <x v="2"/>
    <x v="0"/>
  </r>
  <r>
    <x v="16"/>
    <x v="1"/>
    <s v="Travel_Rarely"/>
    <n v="868"/>
    <x v="0"/>
    <n v="8"/>
    <x v="3"/>
    <s v="Marketing"/>
    <n v="1"/>
    <n v="897"/>
    <n v="1"/>
    <x v="1"/>
    <n v="73"/>
    <n v="3"/>
    <n v="4"/>
    <x v="0"/>
    <n v="4"/>
    <x v="1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  <x v="1"/>
    <x v="3"/>
    <x v="0"/>
  </r>
  <r>
    <x v="10"/>
    <x v="1"/>
    <s v="Travel_Rarely"/>
    <n v="672"/>
    <x v="1"/>
    <n v="25"/>
    <x v="3"/>
    <s v="Technical Degree"/>
    <n v="1"/>
    <n v="899"/>
    <n v="4"/>
    <x v="1"/>
    <n v="78"/>
    <n v="2"/>
    <n v="3"/>
    <x v="3"/>
    <n v="2"/>
    <x v="1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  <x v="1"/>
    <x v="4"/>
    <x v="1"/>
  </r>
  <r>
    <x v="2"/>
    <x v="1"/>
    <s v="Travel_Frequently"/>
    <n v="1231"/>
    <x v="0"/>
    <n v="21"/>
    <x v="0"/>
    <s v="Medical"/>
    <n v="1"/>
    <n v="900"/>
    <n v="3"/>
    <x v="0"/>
    <n v="54"/>
    <n v="3"/>
    <n v="1"/>
    <x v="6"/>
    <n v="4"/>
    <x v="1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  <x v="0"/>
    <x v="2"/>
    <x v="0"/>
  </r>
  <r>
    <x v="16"/>
    <x v="1"/>
    <s v="Travel_Rarely"/>
    <n v="102"/>
    <x v="1"/>
    <n v="23"/>
    <x v="2"/>
    <s v="Life Sciences"/>
    <n v="1"/>
    <n v="901"/>
    <n v="4"/>
    <x v="0"/>
    <n v="72"/>
    <n v="3"/>
    <n v="4"/>
    <x v="7"/>
    <n v="4"/>
    <x v="0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  <x v="0"/>
    <x v="0"/>
    <x v="1"/>
  </r>
  <r>
    <x v="23"/>
    <x v="1"/>
    <s v="Travel_Frequently"/>
    <n v="422"/>
    <x v="1"/>
    <n v="1"/>
    <x v="3"/>
    <s v="Life Sciences"/>
    <n v="1"/>
    <n v="902"/>
    <n v="4"/>
    <x v="0"/>
    <n v="33"/>
    <n v="3"/>
    <n v="2"/>
    <x v="4"/>
    <n v="4"/>
    <x v="1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  <x v="0"/>
    <x v="0"/>
    <x v="1"/>
  </r>
  <r>
    <x v="40"/>
    <x v="1"/>
    <s v="Travel_Rarely"/>
    <n v="249"/>
    <x v="0"/>
    <n v="2"/>
    <x v="0"/>
    <s v="Marketing"/>
    <n v="1"/>
    <n v="903"/>
    <n v="3"/>
    <x v="0"/>
    <n v="35"/>
    <n v="3"/>
    <n v="2"/>
    <x v="0"/>
    <n v="4"/>
    <x v="1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  <x v="0"/>
    <x v="3"/>
    <x v="0"/>
  </r>
  <r>
    <x v="2"/>
    <x v="1"/>
    <s v="Non-Travel"/>
    <n v="1252"/>
    <x v="0"/>
    <n v="19"/>
    <x v="0"/>
    <s v="Medical"/>
    <n v="1"/>
    <n v="904"/>
    <n v="1"/>
    <x v="1"/>
    <n v="32"/>
    <n v="3"/>
    <n v="3"/>
    <x v="0"/>
    <n v="2"/>
    <x v="0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  <x v="1"/>
    <x v="2"/>
    <x v="0"/>
  </r>
  <r>
    <x v="24"/>
    <x v="1"/>
    <s v="Non-Travel"/>
    <n v="881"/>
    <x v="1"/>
    <n v="2"/>
    <x v="2"/>
    <s v="Life Sciences"/>
    <n v="1"/>
    <n v="905"/>
    <n v="1"/>
    <x v="1"/>
    <n v="98"/>
    <n v="3"/>
    <n v="4"/>
    <x v="5"/>
    <n v="1"/>
    <x v="2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  <x v="1"/>
    <x v="0"/>
    <x v="1"/>
  </r>
  <r>
    <x v="22"/>
    <x v="1"/>
    <s v="Travel_Rarely"/>
    <n v="1383"/>
    <x v="2"/>
    <n v="2"/>
    <x v="3"/>
    <s v="Life Sciences"/>
    <n v="1"/>
    <n v="909"/>
    <n v="4"/>
    <x v="0"/>
    <n v="42"/>
    <n v="2"/>
    <n v="2"/>
    <x v="8"/>
    <n v="4"/>
    <x v="1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  <x v="0"/>
    <x v="0"/>
    <x v="2"/>
  </r>
  <r>
    <x v="3"/>
    <x v="1"/>
    <s v="Travel_Rarely"/>
    <n v="1075"/>
    <x v="2"/>
    <n v="3"/>
    <x v="0"/>
    <s v="Human Resources"/>
    <n v="1"/>
    <n v="910"/>
    <n v="4"/>
    <x v="1"/>
    <n v="57"/>
    <n v="3"/>
    <n v="1"/>
    <x v="8"/>
    <n v="2"/>
    <x v="2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  <x v="1"/>
    <x v="5"/>
    <x v="2"/>
  </r>
  <r>
    <x v="5"/>
    <x v="0"/>
    <s v="Travel_Rarely"/>
    <n v="374"/>
    <x v="1"/>
    <n v="25"/>
    <x v="2"/>
    <s v="Life Sciences"/>
    <n v="1"/>
    <n v="911"/>
    <n v="1"/>
    <x v="1"/>
    <n v="87"/>
    <n v="3"/>
    <n v="1"/>
    <x v="2"/>
    <n v="4"/>
    <x v="0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  <x v="1"/>
    <x v="0"/>
    <x v="1"/>
  </r>
  <r>
    <x v="11"/>
    <x v="1"/>
    <s v="Travel_Rarely"/>
    <n v="1086"/>
    <x v="1"/>
    <n v="7"/>
    <x v="1"/>
    <s v="Medical"/>
    <n v="1"/>
    <n v="912"/>
    <n v="1"/>
    <x v="0"/>
    <n v="62"/>
    <n v="2"/>
    <n v="1"/>
    <x v="2"/>
    <n v="4"/>
    <x v="2"/>
    <n v="2532"/>
    <n v="6054"/>
    <n v="6"/>
    <s v="Y"/>
    <s v="No"/>
    <n v="14"/>
    <n v="3"/>
    <n v="3"/>
    <n v="80"/>
    <n v="3"/>
    <n v="8"/>
    <n v="5"/>
    <n v="3"/>
    <n v="4"/>
    <n v="3"/>
    <n v="0"/>
    <n v="3"/>
    <m/>
    <x v="0"/>
    <x v="2"/>
    <x v="1"/>
  </r>
  <r>
    <x v="20"/>
    <x v="1"/>
    <s v="Travel_Rarely"/>
    <n v="661"/>
    <x v="1"/>
    <n v="9"/>
    <x v="0"/>
    <s v="Life Sciences"/>
    <n v="1"/>
    <n v="913"/>
    <n v="2"/>
    <x v="1"/>
    <n v="61"/>
    <n v="3"/>
    <n v="1"/>
    <x v="1"/>
    <n v="1"/>
    <x v="1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  <x v="1"/>
    <x v="0"/>
    <x v="1"/>
  </r>
  <r>
    <x v="14"/>
    <x v="1"/>
    <s v="Travel_Rarely"/>
    <n v="821"/>
    <x v="0"/>
    <n v="5"/>
    <x v="2"/>
    <s v="Medical"/>
    <n v="1"/>
    <n v="916"/>
    <n v="1"/>
    <x v="1"/>
    <n v="98"/>
    <n v="3"/>
    <n v="2"/>
    <x v="0"/>
    <n v="4"/>
    <x v="0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  <x v="1"/>
    <x v="2"/>
    <x v="0"/>
  </r>
  <r>
    <x v="34"/>
    <x v="0"/>
    <s v="Travel_Frequently"/>
    <n v="781"/>
    <x v="1"/>
    <n v="2"/>
    <x v="1"/>
    <s v="Life Sciences"/>
    <n v="1"/>
    <n v="918"/>
    <n v="4"/>
    <x v="1"/>
    <n v="57"/>
    <n v="2"/>
    <n v="1"/>
    <x v="2"/>
    <n v="4"/>
    <x v="2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  <x v="1"/>
    <x v="0"/>
    <x v="1"/>
  </r>
  <r>
    <x v="23"/>
    <x v="1"/>
    <s v="Travel_Rarely"/>
    <n v="177"/>
    <x v="1"/>
    <n v="8"/>
    <x v="3"/>
    <s v="Life Sciences"/>
    <n v="1"/>
    <n v="920"/>
    <n v="1"/>
    <x v="0"/>
    <n v="55"/>
    <n v="3"/>
    <n v="2"/>
    <x v="3"/>
    <n v="2"/>
    <x v="2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  <x v="0"/>
    <x v="0"/>
    <x v="1"/>
  </r>
  <r>
    <x v="35"/>
    <x v="0"/>
    <s v="Travel_Rarely"/>
    <n v="500"/>
    <x v="0"/>
    <n v="2"/>
    <x v="3"/>
    <s v="Medical"/>
    <n v="1"/>
    <n v="922"/>
    <n v="3"/>
    <x v="0"/>
    <n v="49"/>
    <n v="2"/>
    <n v="1"/>
    <x v="6"/>
    <n v="3"/>
    <x v="0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  <x v="0"/>
    <x v="2"/>
    <x v="0"/>
  </r>
  <r>
    <x v="18"/>
    <x v="0"/>
    <s v="Travel_Rarely"/>
    <n v="1427"/>
    <x v="1"/>
    <n v="18"/>
    <x v="1"/>
    <s v="Other"/>
    <n v="1"/>
    <n v="923"/>
    <n v="4"/>
    <x v="0"/>
    <n v="65"/>
    <n v="3"/>
    <n v="1"/>
    <x v="1"/>
    <n v="4"/>
    <x v="0"/>
    <n v="2693"/>
    <n v="8870"/>
    <n v="1"/>
    <s v="Y"/>
    <s v="No"/>
    <n v="19"/>
    <n v="3"/>
    <n v="1"/>
    <n v="80"/>
    <n v="0"/>
    <n v="1"/>
    <n v="3"/>
    <n v="2"/>
    <n v="1"/>
    <n v="0"/>
    <n v="0"/>
    <n v="0"/>
    <m/>
    <x v="0"/>
    <x v="1"/>
    <x v="1"/>
  </r>
  <r>
    <x v="9"/>
    <x v="1"/>
    <s v="Travel_Rarely"/>
    <n v="1425"/>
    <x v="1"/>
    <n v="14"/>
    <x v="1"/>
    <s v="Life Sciences"/>
    <n v="1"/>
    <n v="924"/>
    <n v="3"/>
    <x v="1"/>
    <n v="68"/>
    <n v="3"/>
    <n v="2"/>
    <x v="4"/>
    <n v="4"/>
    <x v="1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  <x v="1"/>
    <x v="0"/>
    <x v="1"/>
  </r>
  <r>
    <x v="40"/>
    <x v="1"/>
    <s v="Travel_Rarely"/>
    <n v="1454"/>
    <x v="0"/>
    <n v="2"/>
    <x v="2"/>
    <s v="Life Sciences"/>
    <n v="1"/>
    <n v="925"/>
    <n v="4"/>
    <x v="0"/>
    <n v="65"/>
    <n v="2"/>
    <n v="1"/>
    <x v="6"/>
    <n v="4"/>
    <x v="0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  <x v="0"/>
    <x v="0"/>
    <x v="0"/>
  </r>
  <r>
    <x v="15"/>
    <x v="0"/>
    <s v="Travel_Rarely"/>
    <n v="617"/>
    <x v="1"/>
    <n v="3"/>
    <x v="1"/>
    <s v="Life Sciences"/>
    <n v="1"/>
    <n v="926"/>
    <n v="2"/>
    <x v="0"/>
    <n v="34"/>
    <n v="3"/>
    <n v="2"/>
    <x v="3"/>
    <n v="3"/>
    <x v="1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  <x v="0"/>
    <x v="0"/>
    <x v="1"/>
  </r>
  <r>
    <x v="0"/>
    <x v="0"/>
    <s v="Travel_Rarely"/>
    <n v="1085"/>
    <x v="1"/>
    <n v="2"/>
    <x v="2"/>
    <s v="Life Sciences"/>
    <n v="1"/>
    <n v="927"/>
    <n v="2"/>
    <x v="0"/>
    <n v="57"/>
    <n v="1"/>
    <n v="1"/>
    <x v="2"/>
    <n v="4"/>
    <x v="2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  <x v="0"/>
    <x v="0"/>
    <x v="1"/>
  </r>
  <r>
    <x v="14"/>
    <x v="1"/>
    <s v="Travel_Rarely"/>
    <n v="995"/>
    <x v="1"/>
    <n v="9"/>
    <x v="3"/>
    <s v="Medical"/>
    <n v="1"/>
    <n v="930"/>
    <n v="3"/>
    <x v="0"/>
    <n v="77"/>
    <n v="3"/>
    <n v="1"/>
    <x v="1"/>
    <n v="3"/>
    <x v="2"/>
    <n v="2377"/>
    <n v="9834"/>
    <n v="5"/>
    <s v="Y"/>
    <s v="No"/>
    <n v="18"/>
    <n v="3"/>
    <n v="2"/>
    <n v="80"/>
    <n v="1"/>
    <n v="6"/>
    <n v="2"/>
    <n v="3"/>
    <n v="2"/>
    <n v="2"/>
    <n v="2"/>
    <n v="2"/>
    <m/>
    <x v="0"/>
    <x v="2"/>
    <x v="1"/>
  </r>
  <r>
    <x v="22"/>
    <x v="0"/>
    <s v="Travel_Rarely"/>
    <n v="1122"/>
    <x v="1"/>
    <n v="6"/>
    <x v="3"/>
    <s v="Medical"/>
    <n v="1"/>
    <n v="932"/>
    <n v="4"/>
    <x v="1"/>
    <n v="70"/>
    <n v="3"/>
    <n v="1"/>
    <x v="2"/>
    <n v="1"/>
    <x v="1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  <x v="1"/>
    <x v="2"/>
    <x v="1"/>
  </r>
  <r>
    <x v="4"/>
    <x v="1"/>
    <s v="Travel_Rarely"/>
    <n v="618"/>
    <x v="1"/>
    <n v="4"/>
    <x v="3"/>
    <s v="Life Sciences"/>
    <n v="1"/>
    <n v="933"/>
    <n v="2"/>
    <x v="0"/>
    <n v="76"/>
    <n v="3"/>
    <n v="1"/>
    <x v="1"/>
    <n v="3"/>
    <x v="0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  <x v="0"/>
    <x v="0"/>
    <x v="1"/>
  </r>
  <r>
    <x v="13"/>
    <x v="1"/>
    <s v="Travel_Rarely"/>
    <n v="546"/>
    <x v="1"/>
    <n v="10"/>
    <x v="3"/>
    <s v="Life Sciences"/>
    <n v="1"/>
    <n v="934"/>
    <n v="2"/>
    <x v="1"/>
    <n v="83"/>
    <n v="3"/>
    <n v="1"/>
    <x v="2"/>
    <n v="2"/>
    <x v="2"/>
    <n v="2008"/>
    <n v="6896"/>
    <n v="1"/>
    <s v="Y"/>
    <s v="No"/>
    <n v="14"/>
    <n v="3"/>
    <n v="2"/>
    <n v="80"/>
    <n v="2"/>
    <n v="1"/>
    <n v="3"/>
    <n v="3"/>
    <n v="1"/>
    <n v="0"/>
    <n v="1"/>
    <n v="0"/>
    <m/>
    <x v="1"/>
    <x v="0"/>
    <x v="1"/>
  </r>
  <r>
    <x v="19"/>
    <x v="1"/>
    <s v="Travel_Rarely"/>
    <n v="462"/>
    <x v="0"/>
    <n v="14"/>
    <x v="0"/>
    <s v="Medical"/>
    <n v="1"/>
    <n v="936"/>
    <n v="3"/>
    <x v="0"/>
    <n v="68"/>
    <n v="2"/>
    <n v="2"/>
    <x v="0"/>
    <n v="3"/>
    <x v="0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  <x v="0"/>
    <x v="2"/>
    <x v="0"/>
  </r>
  <r>
    <x v="3"/>
    <x v="1"/>
    <s v="Travel_Rarely"/>
    <n v="1198"/>
    <x v="1"/>
    <n v="1"/>
    <x v="2"/>
    <s v="Other"/>
    <n v="1"/>
    <n v="939"/>
    <n v="3"/>
    <x v="1"/>
    <n v="100"/>
    <n v="2"/>
    <n v="1"/>
    <x v="1"/>
    <n v="1"/>
    <x v="0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  <x v="1"/>
    <x v="1"/>
    <x v="1"/>
  </r>
  <r>
    <x v="34"/>
    <x v="1"/>
    <s v="Travel_Rarely"/>
    <n v="1272"/>
    <x v="1"/>
    <n v="5"/>
    <x v="3"/>
    <s v="Technical Degree"/>
    <n v="1"/>
    <n v="940"/>
    <n v="3"/>
    <x v="0"/>
    <n v="37"/>
    <n v="2"/>
    <n v="3"/>
    <x v="4"/>
    <n v="2"/>
    <x v="2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  <x v="0"/>
    <x v="4"/>
    <x v="1"/>
  </r>
  <r>
    <x v="12"/>
    <x v="1"/>
    <s v="Travel_Rarely"/>
    <n v="154"/>
    <x v="0"/>
    <n v="7"/>
    <x v="2"/>
    <s v="Life Sciences"/>
    <n v="1"/>
    <n v="941"/>
    <n v="2"/>
    <x v="1"/>
    <n v="41"/>
    <n v="2"/>
    <n v="1"/>
    <x v="6"/>
    <n v="3"/>
    <x v="1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  <x v="1"/>
    <x v="0"/>
    <x v="0"/>
  </r>
  <r>
    <x v="10"/>
    <x v="1"/>
    <s v="Travel_Rarely"/>
    <n v="1137"/>
    <x v="1"/>
    <n v="21"/>
    <x v="1"/>
    <s v="Life Sciences"/>
    <n v="1"/>
    <n v="942"/>
    <n v="4"/>
    <x v="0"/>
    <n v="51"/>
    <n v="3"/>
    <n v="2"/>
    <x v="4"/>
    <n v="4"/>
    <x v="1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  <x v="0"/>
    <x v="0"/>
    <x v="1"/>
  </r>
  <r>
    <x v="1"/>
    <x v="1"/>
    <s v="Travel_Rarely"/>
    <n v="527"/>
    <x v="1"/>
    <n v="8"/>
    <x v="0"/>
    <s v="Other"/>
    <n v="1"/>
    <n v="944"/>
    <n v="1"/>
    <x v="0"/>
    <n v="51"/>
    <n v="3"/>
    <n v="3"/>
    <x v="2"/>
    <n v="2"/>
    <x v="1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  <x v="0"/>
    <x v="1"/>
    <x v="1"/>
  </r>
  <r>
    <x v="26"/>
    <x v="1"/>
    <s v="Travel_Rarely"/>
    <n v="1469"/>
    <x v="1"/>
    <n v="20"/>
    <x v="2"/>
    <s v="Medical"/>
    <n v="1"/>
    <n v="945"/>
    <n v="4"/>
    <x v="1"/>
    <n v="51"/>
    <n v="3"/>
    <n v="1"/>
    <x v="1"/>
    <n v="3"/>
    <x v="1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  <x v="1"/>
    <x v="2"/>
    <x v="1"/>
  </r>
  <r>
    <x v="12"/>
    <x v="1"/>
    <s v="Non-Travel"/>
    <n v="1188"/>
    <x v="0"/>
    <n v="20"/>
    <x v="0"/>
    <s v="Marketing"/>
    <n v="1"/>
    <n v="947"/>
    <n v="4"/>
    <x v="0"/>
    <n v="45"/>
    <n v="3"/>
    <n v="2"/>
    <x v="0"/>
    <n v="3"/>
    <x v="1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  <x v="0"/>
    <x v="3"/>
    <x v="0"/>
  </r>
  <r>
    <x v="9"/>
    <x v="1"/>
    <s v="Travel_Rarely"/>
    <n v="188"/>
    <x v="1"/>
    <n v="7"/>
    <x v="2"/>
    <s v="Other"/>
    <n v="1"/>
    <n v="949"/>
    <n v="2"/>
    <x v="1"/>
    <n v="65"/>
    <n v="3"/>
    <n v="1"/>
    <x v="1"/>
    <n v="4"/>
    <x v="0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  <x v="1"/>
    <x v="1"/>
    <x v="1"/>
  </r>
  <r>
    <x v="8"/>
    <x v="1"/>
    <s v="Travel_Rarely"/>
    <n v="1333"/>
    <x v="1"/>
    <n v="1"/>
    <x v="3"/>
    <s v="Technical Degree"/>
    <n v="1"/>
    <n v="950"/>
    <n v="4"/>
    <x v="0"/>
    <n v="80"/>
    <n v="3"/>
    <n v="3"/>
    <x v="7"/>
    <n v="1"/>
    <x v="1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  <x v="0"/>
    <x v="4"/>
    <x v="1"/>
  </r>
  <r>
    <x v="5"/>
    <x v="1"/>
    <s v="Non-Travel"/>
    <n v="1184"/>
    <x v="1"/>
    <n v="1"/>
    <x v="3"/>
    <s v="Life Sciences"/>
    <n v="1"/>
    <n v="951"/>
    <n v="3"/>
    <x v="0"/>
    <n v="70"/>
    <n v="2"/>
    <n v="1"/>
    <x v="2"/>
    <n v="2"/>
    <x v="1"/>
    <n v="2332"/>
    <n v="3974"/>
    <n v="6"/>
    <s v="Y"/>
    <s v="No"/>
    <n v="20"/>
    <n v="4"/>
    <n v="3"/>
    <n v="80"/>
    <n v="0"/>
    <n v="5"/>
    <n v="3"/>
    <n v="3"/>
    <n v="3"/>
    <n v="0"/>
    <n v="0"/>
    <n v="2"/>
    <m/>
    <x v="0"/>
    <x v="0"/>
    <x v="1"/>
  </r>
  <r>
    <x v="36"/>
    <x v="0"/>
    <s v="Travel_Rarely"/>
    <n v="867"/>
    <x v="0"/>
    <n v="19"/>
    <x v="0"/>
    <s v="Marketing"/>
    <n v="1"/>
    <n v="952"/>
    <n v="3"/>
    <x v="1"/>
    <n v="36"/>
    <n v="2"/>
    <n v="1"/>
    <x v="6"/>
    <n v="2"/>
    <x v="1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  <x v="1"/>
    <x v="3"/>
    <x v="0"/>
  </r>
  <r>
    <x v="32"/>
    <x v="1"/>
    <s v="Travel_Rarely"/>
    <n v="658"/>
    <x v="0"/>
    <n v="10"/>
    <x v="2"/>
    <s v="Marketing"/>
    <n v="1"/>
    <n v="954"/>
    <n v="1"/>
    <x v="1"/>
    <n v="67"/>
    <n v="2"/>
    <n v="3"/>
    <x v="0"/>
    <n v="2"/>
    <x v="2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  <x v="1"/>
    <x v="3"/>
    <x v="0"/>
  </r>
  <r>
    <x v="25"/>
    <x v="1"/>
    <s v="Travel_Frequently"/>
    <n v="1283"/>
    <x v="0"/>
    <n v="1"/>
    <x v="3"/>
    <s v="Medical"/>
    <n v="1"/>
    <n v="956"/>
    <n v="3"/>
    <x v="1"/>
    <n v="52"/>
    <n v="2"/>
    <n v="2"/>
    <x v="0"/>
    <n v="1"/>
    <x v="0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  <x v="1"/>
    <x v="2"/>
    <x v="0"/>
  </r>
  <r>
    <x v="0"/>
    <x v="1"/>
    <s v="Travel_Rarely"/>
    <n v="263"/>
    <x v="1"/>
    <n v="6"/>
    <x v="3"/>
    <s v="Medical"/>
    <n v="1"/>
    <n v="957"/>
    <n v="4"/>
    <x v="1"/>
    <n v="59"/>
    <n v="3"/>
    <n v="1"/>
    <x v="2"/>
    <n v="1"/>
    <x v="0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  <x v="1"/>
    <x v="2"/>
    <x v="1"/>
  </r>
  <r>
    <x v="9"/>
    <x v="1"/>
    <s v="Travel_Rarely"/>
    <n v="938"/>
    <x v="1"/>
    <n v="2"/>
    <x v="2"/>
    <s v="Medical"/>
    <n v="1"/>
    <n v="958"/>
    <n v="3"/>
    <x v="1"/>
    <n v="79"/>
    <n v="3"/>
    <n v="1"/>
    <x v="2"/>
    <n v="3"/>
    <x v="0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  <x v="1"/>
    <x v="2"/>
    <x v="1"/>
  </r>
  <r>
    <x v="37"/>
    <x v="0"/>
    <s v="Travel_Rarely"/>
    <n v="419"/>
    <x v="0"/>
    <n v="21"/>
    <x v="3"/>
    <s v="Other"/>
    <n v="1"/>
    <n v="959"/>
    <n v="4"/>
    <x v="1"/>
    <n v="37"/>
    <n v="2"/>
    <n v="1"/>
    <x v="6"/>
    <n v="2"/>
    <x v="0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  <x v="1"/>
    <x v="1"/>
    <x v="0"/>
  </r>
  <r>
    <x v="35"/>
    <x v="0"/>
    <s v="Travel_Rarely"/>
    <n v="129"/>
    <x v="1"/>
    <n v="4"/>
    <x v="3"/>
    <s v="Technical Degree"/>
    <n v="1"/>
    <n v="960"/>
    <n v="1"/>
    <x v="1"/>
    <n v="84"/>
    <n v="3"/>
    <n v="1"/>
    <x v="2"/>
    <n v="1"/>
    <x v="0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  <x v="1"/>
    <x v="4"/>
    <x v="1"/>
  </r>
  <r>
    <x v="12"/>
    <x v="1"/>
    <s v="Travel_Rarely"/>
    <n v="616"/>
    <x v="1"/>
    <n v="12"/>
    <x v="3"/>
    <s v="Medical"/>
    <n v="1"/>
    <n v="961"/>
    <n v="4"/>
    <x v="0"/>
    <n v="41"/>
    <n v="3"/>
    <n v="2"/>
    <x v="4"/>
    <n v="4"/>
    <x v="1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  <x v="0"/>
    <x v="2"/>
    <x v="1"/>
  </r>
  <r>
    <x v="32"/>
    <x v="1"/>
    <s v="Travel_Frequently"/>
    <n v="1469"/>
    <x v="1"/>
    <n v="9"/>
    <x v="2"/>
    <s v="Medical"/>
    <n v="1"/>
    <n v="964"/>
    <n v="4"/>
    <x v="1"/>
    <n v="35"/>
    <n v="3"/>
    <n v="1"/>
    <x v="1"/>
    <n v="2"/>
    <x v="2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  <x v="1"/>
    <x v="2"/>
    <x v="1"/>
  </r>
  <r>
    <x v="5"/>
    <x v="1"/>
    <s v="Travel_Rarely"/>
    <n v="498"/>
    <x v="1"/>
    <n v="3"/>
    <x v="2"/>
    <s v="Medical"/>
    <n v="1"/>
    <n v="966"/>
    <n v="3"/>
    <x v="0"/>
    <n v="93"/>
    <n v="3"/>
    <n v="2"/>
    <x v="3"/>
    <n v="1"/>
    <x v="1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  <x v="0"/>
    <x v="2"/>
    <x v="1"/>
  </r>
  <r>
    <x v="9"/>
    <x v="0"/>
    <s v="Travel_Rarely"/>
    <n v="530"/>
    <x v="0"/>
    <n v="3"/>
    <x v="1"/>
    <s v="Life Sciences"/>
    <n v="1"/>
    <n v="967"/>
    <n v="3"/>
    <x v="1"/>
    <n v="51"/>
    <n v="2"/>
    <n v="3"/>
    <x v="0"/>
    <n v="4"/>
    <x v="1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  <x v="1"/>
    <x v="0"/>
    <x v="0"/>
  </r>
  <r>
    <x v="3"/>
    <x v="1"/>
    <s v="Travel_Rarely"/>
    <n v="1069"/>
    <x v="1"/>
    <n v="1"/>
    <x v="3"/>
    <s v="Life Sciences"/>
    <n v="1"/>
    <n v="969"/>
    <n v="2"/>
    <x v="0"/>
    <n v="42"/>
    <n v="2"/>
    <n v="2"/>
    <x v="4"/>
    <n v="4"/>
    <x v="0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  <x v="0"/>
    <x v="0"/>
    <x v="1"/>
  </r>
  <r>
    <x v="2"/>
    <x v="0"/>
    <s v="Travel_Rarely"/>
    <n v="625"/>
    <x v="0"/>
    <n v="1"/>
    <x v="2"/>
    <s v="Life Sciences"/>
    <n v="1"/>
    <n v="970"/>
    <n v="1"/>
    <x v="1"/>
    <n v="46"/>
    <n v="2"/>
    <n v="3"/>
    <x v="0"/>
    <n v="3"/>
    <x v="1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  <x v="1"/>
    <x v="0"/>
    <x v="0"/>
  </r>
  <r>
    <x v="28"/>
    <x v="1"/>
    <s v="Non-Travel"/>
    <n v="805"/>
    <x v="1"/>
    <n v="4"/>
    <x v="0"/>
    <s v="Life Sciences"/>
    <n v="1"/>
    <n v="972"/>
    <n v="3"/>
    <x v="1"/>
    <n v="57"/>
    <n v="3"/>
    <n v="2"/>
    <x v="2"/>
    <n v="2"/>
    <x v="1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  <x v="1"/>
    <x v="0"/>
    <x v="1"/>
  </r>
  <r>
    <x v="11"/>
    <x v="1"/>
    <s v="Travel_Frequently"/>
    <n v="1404"/>
    <x v="0"/>
    <n v="20"/>
    <x v="3"/>
    <s v="Technical Degree"/>
    <n v="1"/>
    <n v="974"/>
    <n v="3"/>
    <x v="0"/>
    <n v="84"/>
    <n v="3"/>
    <n v="1"/>
    <x v="6"/>
    <n v="4"/>
    <x v="1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  <x v="0"/>
    <x v="4"/>
    <x v="0"/>
  </r>
  <r>
    <x v="10"/>
    <x v="1"/>
    <s v="Travel_Rarely"/>
    <n v="1219"/>
    <x v="0"/>
    <n v="18"/>
    <x v="3"/>
    <s v="Medical"/>
    <n v="1"/>
    <n v="975"/>
    <n v="3"/>
    <x v="0"/>
    <n v="86"/>
    <n v="3"/>
    <n v="2"/>
    <x v="0"/>
    <n v="3"/>
    <x v="1"/>
    <n v="4601"/>
    <n v="6179"/>
    <n v="1"/>
    <s v="Y"/>
    <s v="No"/>
    <n v="16"/>
    <n v="3"/>
    <n v="2"/>
    <n v="80"/>
    <n v="0"/>
    <n v="5"/>
    <n v="3"/>
    <n v="3"/>
    <n v="5"/>
    <n v="2"/>
    <n v="1"/>
    <n v="0"/>
    <m/>
    <x v="0"/>
    <x v="2"/>
    <x v="0"/>
  </r>
  <r>
    <x v="39"/>
    <x v="1"/>
    <s v="Travel_Rarely"/>
    <n v="1053"/>
    <x v="1"/>
    <n v="1"/>
    <x v="0"/>
    <s v="Life Sciences"/>
    <n v="1"/>
    <n v="976"/>
    <n v="4"/>
    <x v="1"/>
    <n v="70"/>
    <n v="3"/>
    <n v="4"/>
    <x v="5"/>
    <n v="4"/>
    <x v="1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  <x v="1"/>
    <x v="0"/>
    <x v="1"/>
  </r>
  <r>
    <x v="34"/>
    <x v="0"/>
    <s v="Travel_Rarely"/>
    <n v="289"/>
    <x v="1"/>
    <n v="2"/>
    <x v="3"/>
    <s v="Technical Degree"/>
    <n v="1"/>
    <n v="977"/>
    <n v="4"/>
    <x v="1"/>
    <n v="51"/>
    <n v="3"/>
    <n v="1"/>
    <x v="1"/>
    <n v="3"/>
    <x v="0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  <x v="1"/>
    <x v="4"/>
    <x v="1"/>
  </r>
  <r>
    <x v="16"/>
    <x v="1"/>
    <s v="Travel_Rarely"/>
    <n v="1376"/>
    <x v="0"/>
    <n v="2"/>
    <x v="0"/>
    <s v="Medical"/>
    <n v="1"/>
    <n v="981"/>
    <n v="3"/>
    <x v="1"/>
    <n v="45"/>
    <n v="3"/>
    <n v="4"/>
    <x v="5"/>
    <n v="3"/>
    <x v="2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  <x v="1"/>
    <x v="2"/>
    <x v="0"/>
  </r>
  <r>
    <x v="7"/>
    <x v="1"/>
    <s v="Travel_Rarely"/>
    <n v="231"/>
    <x v="0"/>
    <n v="8"/>
    <x v="0"/>
    <s v="Other"/>
    <n v="1"/>
    <n v="982"/>
    <n v="3"/>
    <x v="1"/>
    <n v="62"/>
    <n v="3"/>
    <n v="3"/>
    <x v="0"/>
    <n v="3"/>
    <x v="2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  <x v="1"/>
    <x v="1"/>
    <x v="0"/>
  </r>
  <r>
    <x v="8"/>
    <x v="1"/>
    <s v="Non-Travel"/>
    <n v="152"/>
    <x v="0"/>
    <n v="10"/>
    <x v="3"/>
    <s v="Technical Degree"/>
    <n v="1"/>
    <n v="983"/>
    <n v="3"/>
    <x v="0"/>
    <n v="85"/>
    <n v="3"/>
    <n v="2"/>
    <x v="0"/>
    <n v="4"/>
    <x v="0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  <x v="0"/>
    <x v="4"/>
    <x v="0"/>
  </r>
  <r>
    <x v="10"/>
    <x v="1"/>
    <s v="Travel_Rarely"/>
    <n v="882"/>
    <x v="0"/>
    <n v="3"/>
    <x v="2"/>
    <s v="Life Sciences"/>
    <n v="1"/>
    <n v="984"/>
    <n v="4"/>
    <x v="1"/>
    <n v="92"/>
    <n v="3"/>
    <n v="3"/>
    <x v="0"/>
    <n v="4"/>
    <x v="2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  <x v="1"/>
    <x v="0"/>
    <x v="0"/>
  </r>
  <r>
    <x v="22"/>
    <x v="1"/>
    <s v="Travel_Rarely"/>
    <n v="903"/>
    <x v="0"/>
    <n v="2"/>
    <x v="4"/>
    <s v="Life Sciences"/>
    <n v="1"/>
    <n v="985"/>
    <n v="1"/>
    <x v="1"/>
    <n v="41"/>
    <n v="4"/>
    <n v="3"/>
    <x v="0"/>
    <n v="3"/>
    <x v="0"/>
    <n v="7880"/>
    <n v="2560"/>
    <n v="0"/>
    <s v="Y"/>
    <s v="No"/>
    <n v="18"/>
    <n v="3"/>
    <n v="4"/>
    <n v="80"/>
    <n v="0"/>
    <n v="9"/>
    <n v="3"/>
    <n v="3"/>
    <n v="8"/>
    <n v="7"/>
    <n v="0"/>
    <n v="7"/>
    <m/>
    <x v="1"/>
    <x v="0"/>
    <x v="0"/>
  </r>
  <r>
    <x v="32"/>
    <x v="0"/>
    <s v="Non-Travel"/>
    <n v="1479"/>
    <x v="0"/>
    <n v="24"/>
    <x v="3"/>
    <s v="Life Sciences"/>
    <n v="1"/>
    <n v="986"/>
    <n v="2"/>
    <x v="0"/>
    <n v="100"/>
    <n v="4"/>
    <n v="4"/>
    <x v="0"/>
    <n v="2"/>
    <x v="0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  <x v="0"/>
    <x v="0"/>
    <x v="0"/>
  </r>
  <r>
    <x v="40"/>
    <x v="1"/>
    <s v="Travel_Frequently"/>
    <n v="1379"/>
    <x v="1"/>
    <n v="16"/>
    <x v="2"/>
    <s v="Medical"/>
    <n v="1"/>
    <n v="987"/>
    <n v="3"/>
    <x v="1"/>
    <n v="64"/>
    <n v="4"/>
    <n v="2"/>
    <x v="3"/>
    <n v="3"/>
    <x v="2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  <x v="1"/>
    <x v="2"/>
    <x v="1"/>
  </r>
  <r>
    <x v="9"/>
    <x v="1"/>
    <s v="Non-Travel"/>
    <n v="1229"/>
    <x v="0"/>
    <n v="8"/>
    <x v="2"/>
    <s v="Technical Degree"/>
    <n v="1"/>
    <n v="990"/>
    <n v="1"/>
    <x v="1"/>
    <n v="84"/>
    <n v="3"/>
    <n v="2"/>
    <x v="0"/>
    <n v="4"/>
    <x v="2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  <x v="1"/>
    <x v="4"/>
    <x v="0"/>
  </r>
  <r>
    <x v="12"/>
    <x v="0"/>
    <s v="Non-Travel"/>
    <n v="335"/>
    <x v="1"/>
    <n v="9"/>
    <x v="0"/>
    <s v="Medical"/>
    <n v="1"/>
    <n v="991"/>
    <n v="3"/>
    <x v="1"/>
    <n v="46"/>
    <n v="2"/>
    <n v="1"/>
    <x v="1"/>
    <n v="1"/>
    <x v="0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  <x v="1"/>
    <x v="2"/>
    <x v="1"/>
  </r>
  <r>
    <x v="3"/>
    <x v="1"/>
    <s v="Non-Travel"/>
    <n v="722"/>
    <x v="0"/>
    <n v="17"/>
    <x v="3"/>
    <s v="Life Sciences"/>
    <n v="1"/>
    <n v="992"/>
    <n v="4"/>
    <x v="1"/>
    <n v="38"/>
    <n v="3"/>
    <n v="4"/>
    <x v="5"/>
    <n v="3"/>
    <x v="0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  <x v="1"/>
    <x v="0"/>
    <x v="0"/>
  </r>
  <r>
    <x v="11"/>
    <x v="0"/>
    <s v="Travel_Rarely"/>
    <n v="906"/>
    <x v="1"/>
    <n v="10"/>
    <x v="3"/>
    <s v="Life Sciences"/>
    <n v="1"/>
    <n v="994"/>
    <n v="4"/>
    <x v="0"/>
    <n v="92"/>
    <n v="2"/>
    <n v="1"/>
    <x v="1"/>
    <n v="1"/>
    <x v="0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  <x v="0"/>
    <x v="0"/>
    <x v="1"/>
  </r>
  <r>
    <x v="3"/>
    <x v="1"/>
    <s v="Travel_Rarely"/>
    <n v="461"/>
    <x v="1"/>
    <n v="13"/>
    <x v="1"/>
    <s v="Life Sciences"/>
    <n v="1"/>
    <n v="995"/>
    <n v="2"/>
    <x v="0"/>
    <n v="53"/>
    <n v="3"/>
    <n v="1"/>
    <x v="1"/>
    <n v="4"/>
    <x v="0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  <x v="0"/>
    <x v="0"/>
    <x v="1"/>
  </r>
  <r>
    <x v="28"/>
    <x v="1"/>
    <s v="Travel_Rarely"/>
    <n v="974"/>
    <x v="1"/>
    <n v="1"/>
    <x v="2"/>
    <s v="Medical"/>
    <n v="1"/>
    <n v="996"/>
    <n v="4"/>
    <x v="0"/>
    <n v="91"/>
    <n v="3"/>
    <n v="1"/>
    <x v="2"/>
    <n v="4"/>
    <x v="2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  <x v="0"/>
    <x v="2"/>
    <x v="1"/>
  </r>
  <r>
    <x v="24"/>
    <x v="1"/>
    <s v="Travel_Rarely"/>
    <n v="1126"/>
    <x v="1"/>
    <n v="1"/>
    <x v="0"/>
    <s v="Medical"/>
    <n v="1"/>
    <n v="997"/>
    <n v="4"/>
    <x v="1"/>
    <n v="66"/>
    <n v="3"/>
    <n v="4"/>
    <x v="7"/>
    <n v="4"/>
    <x v="2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  <x v="1"/>
    <x v="2"/>
    <x v="1"/>
  </r>
  <r>
    <x v="3"/>
    <x v="1"/>
    <s v="Travel_Frequently"/>
    <n v="827"/>
    <x v="1"/>
    <n v="1"/>
    <x v="2"/>
    <s v="Other"/>
    <n v="1"/>
    <n v="998"/>
    <n v="3"/>
    <x v="0"/>
    <n v="84"/>
    <n v="4"/>
    <n v="2"/>
    <x v="4"/>
    <n v="2"/>
    <x v="1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  <x v="0"/>
    <x v="1"/>
    <x v="1"/>
  </r>
  <r>
    <x v="0"/>
    <x v="1"/>
    <s v="Travel_Frequently"/>
    <n v="840"/>
    <x v="1"/>
    <n v="9"/>
    <x v="3"/>
    <s v="Medical"/>
    <n v="1"/>
    <n v="999"/>
    <n v="1"/>
    <x v="1"/>
    <n v="64"/>
    <n v="3"/>
    <n v="5"/>
    <x v="7"/>
    <n v="3"/>
    <x v="2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  <x v="1"/>
    <x v="2"/>
    <x v="1"/>
  </r>
  <r>
    <x v="4"/>
    <x v="1"/>
    <s v="Travel_Rarely"/>
    <n v="1134"/>
    <x v="1"/>
    <n v="16"/>
    <x v="2"/>
    <s v="Technical Degree"/>
    <n v="1"/>
    <n v="1001"/>
    <n v="3"/>
    <x v="0"/>
    <n v="37"/>
    <n v="3"/>
    <n v="1"/>
    <x v="2"/>
    <n v="2"/>
    <x v="1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  <x v="0"/>
    <x v="4"/>
    <x v="1"/>
  </r>
  <r>
    <x v="28"/>
    <x v="1"/>
    <s v="Non-Travel"/>
    <n v="248"/>
    <x v="1"/>
    <n v="23"/>
    <x v="0"/>
    <s v="Life Sciences"/>
    <n v="1"/>
    <n v="1002"/>
    <n v="4"/>
    <x v="1"/>
    <n v="42"/>
    <n v="3"/>
    <n v="2"/>
    <x v="2"/>
    <n v="1"/>
    <x v="1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  <x v="1"/>
    <x v="0"/>
    <x v="1"/>
  </r>
  <r>
    <x v="40"/>
    <x v="1"/>
    <s v="Travel_Rarely"/>
    <n v="955"/>
    <x v="0"/>
    <n v="4"/>
    <x v="0"/>
    <s v="Life Sciences"/>
    <n v="1"/>
    <n v="1003"/>
    <n v="4"/>
    <x v="0"/>
    <n v="83"/>
    <n v="3"/>
    <n v="2"/>
    <x v="0"/>
    <n v="4"/>
    <x v="0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  <x v="0"/>
    <x v="0"/>
    <x v="0"/>
  </r>
  <r>
    <x v="7"/>
    <x v="0"/>
    <s v="Travel_Rarely"/>
    <n v="138"/>
    <x v="1"/>
    <n v="22"/>
    <x v="3"/>
    <s v="Life Sciences"/>
    <n v="1"/>
    <n v="1004"/>
    <n v="1"/>
    <x v="0"/>
    <n v="48"/>
    <n v="3"/>
    <n v="1"/>
    <x v="1"/>
    <n v="3"/>
    <x v="1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  <x v="0"/>
    <x v="0"/>
    <x v="1"/>
  </r>
  <r>
    <x v="24"/>
    <x v="1"/>
    <s v="Travel_Rarely"/>
    <n v="939"/>
    <x v="1"/>
    <n v="24"/>
    <x v="3"/>
    <s v="Life Sciences"/>
    <n v="1"/>
    <n v="1005"/>
    <n v="4"/>
    <x v="1"/>
    <n v="95"/>
    <n v="3"/>
    <n v="4"/>
    <x v="3"/>
    <n v="3"/>
    <x v="1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  <x v="1"/>
    <x v="0"/>
    <x v="1"/>
  </r>
  <r>
    <x v="8"/>
    <x v="1"/>
    <s v="Travel_Frequently"/>
    <n v="1391"/>
    <x v="1"/>
    <n v="10"/>
    <x v="1"/>
    <s v="Medical"/>
    <n v="1"/>
    <n v="1006"/>
    <n v="3"/>
    <x v="1"/>
    <n v="66"/>
    <n v="3"/>
    <n v="1"/>
    <x v="1"/>
    <n v="3"/>
    <x v="1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  <x v="1"/>
    <x v="2"/>
    <x v="1"/>
  </r>
  <r>
    <x v="21"/>
    <x v="1"/>
    <s v="Travel_Rarely"/>
    <n v="566"/>
    <x v="1"/>
    <n v="7"/>
    <x v="0"/>
    <s v="Medical"/>
    <n v="1"/>
    <n v="1007"/>
    <n v="4"/>
    <x v="1"/>
    <n v="75"/>
    <n v="3"/>
    <n v="3"/>
    <x v="3"/>
    <n v="3"/>
    <x v="2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  <x v="1"/>
    <x v="2"/>
    <x v="1"/>
  </r>
  <r>
    <x v="17"/>
    <x v="1"/>
    <s v="Travel_Rarely"/>
    <n v="1206"/>
    <x v="1"/>
    <n v="17"/>
    <x v="1"/>
    <s v="Medical"/>
    <n v="1"/>
    <n v="1009"/>
    <n v="4"/>
    <x v="0"/>
    <n v="41"/>
    <n v="2"/>
    <n v="2"/>
    <x v="3"/>
    <n v="3"/>
    <x v="2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  <x v="0"/>
    <x v="2"/>
    <x v="1"/>
  </r>
  <r>
    <x v="10"/>
    <x v="0"/>
    <s v="Travel_Rarely"/>
    <n v="622"/>
    <x v="1"/>
    <n v="14"/>
    <x v="2"/>
    <s v="Other"/>
    <n v="1"/>
    <n v="1010"/>
    <n v="3"/>
    <x v="1"/>
    <n v="39"/>
    <n v="2"/>
    <n v="1"/>
    <x v="2"/>
    <n v="2"/>
    <x v="2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  <x v="1"/>
    <x v="1"/>
    <x v="1"/>
  </r>
  <r>
    <x v="12"/>
    <x v="1"/>
    <s v="Travel_Frequently"/>
    <n v="853"/>
    <x v="1"/>
    <n v="1"/>
    <x v="1"/>
    <s v="Life Sciences"/>
    <n v="1"/>
    <n v="1011"/>
    <n v="3"/>
    <x v="0"/>
    <n v="96"/>
    <n v="3"/>
    <n v="2"/>
    <x v="3"/>
    <n v="1"/>
    <x v="1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  <x v="0"/>
    <x v="0"/>
    <x v="1"/>
  </r>
  <r>
    <x v="41"/>
    <x v="1"/>
    <s v="Non-Travel"/>
    <n v="287"/>
    <x v="1"/>
    <n v="5"/>
    <x v="0"/>
    <s v="Life Sciences"/>
    <n v="1"/>
    <n v="1012"/>
    <n v="2"/>
    <x v="1"/>
    <n v="73"/>
    <n v="3"/>
    <n v="1"/>
    <x v="1"/>
    <n v="4"/>
    <x v="0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  <x v="1"/>
    <x v="0"/>
    <x v="1"/>
  </r>
  <r>
    <x v="33"/>
    <x v="1"/>
    <s v="Travel_Rarely"/>
    <n v="1441"/>
    <x v="1"/>
    <n v="17"/>
    <x v="3"/>
    <s v="Technical Degree"/>
    <n v="1"/>
    <n v="1013"/>
    <n v="3"/>
    <x v="0"/>
    <n v="56"/>
    <n v="3"/>
    <n v="3"/>
    <x v="3"/>
    <n v="3"/>
    <x v="1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  <x v="0"/>
    <x v="4"/>
    <x v="1"/>
  </r>
  <r>
    <x v="10"/>
    <x v="1"/>
    <s v="Travel_Rarely"/>
    <n v="583"/>
    <x v="1"/>
    <n v="25"/>
    <x v="2"/>
    <s v="Medical"/>
    <n v="1"/>
    <n v="1014"/>
    <n v="3"/>
    <x v="0"/>
    <n v="57"/>
    <n v="3"/>
    <n v="3"/>
    <x v="4"/>
    <n v="3"/>
    <x v="2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  <x v="0"/>
    <x v="2"/>
    <x v="1"/>
  </r>
  <r>
    <x v="7"/>
    <x v="1"/>
    <s v="Travel_Rarely"/>
    <n v="153"/>
    <x v="1"/>
    <n v="8"/>
    <x v="0"/>
    <s v="Life Sciences"/>
    <n v="1"/>
    <n v="1015"/>
    <n v="2"/>
    <x v="0"/>
    <n v="73"/>
    <n v="4"/>
    <n v="3"/>
    <x v="7"/>
    <n v="1"/>
    <x v="1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  <x v="0"/>
    <x v="0"/>
    <x v="1"/>
  </r>
  <r>
    <x v="35"/>
    <x v="0"/>
    <s v="Travel_Rarely"/>
    <n v="1097"/>
    <x v="1"/>
    <n v="11"/>
    <x v="3"/>
    <s v="Medical"/>
    <n v="1"/>
    <n v="1016"/>
    <n v="4"/>
    <x v="0"/>
    <n v="98"/>
    <n v="2"/>
    <n v="1"/>
    <x v="1"/>
    <n v="1"/>
    <x v="0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  <x v="0"/>
    <x v="2"/>
    <x v="1"/>
  </r>
  <r>
    <x v="7"/>
    <x v="0"/>
    <s v="Travel_Frequently"/>
    <n v="109"/>
    <x v="1"/>
    <n v="5"/>
    <x v="3"/>
    <s v="Medical"/>
    <n v="1"/>
    <n v="1017"/>
    <n v="2"/>
    <x v="0"/>
    <n v="60"/>
    <n v="3"/>
    <n v="1"/>
    <x v="2"/>
    <n v="2"/>
    <x v="0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  <x v="0"/>
    <x v="2"/>
    <x v="1"/>
  </r>
  <r>
    <x v="25"/>
    <x v="1"/>
    <s v="Travel_Rarely"/>
    <n v="1066"/>
    <x v="1"/>
    <n v="2"/>
    <x v="0"/>
    <s v="Medical"/>
    <n v="1"/>
    <n v="1018"/>
    <n v="4"/>
    <x v="1"/>
    <n v="32"/>
    <n v="4"/>
    <n v="2"/>
    <x v="3"/>
    <n v="4"/>
    <x v="1"/>
    <n v="5472"/>
    <n v="3334"/>
    <n v="1"/>
    <s v="Y"/>
    <s v="No"/>
    <n v="12"/>
    <n v="3"/>
    <n v="2"/>
    <n v="80"/>
    <n v="0"/>
    <n v="8"/>
    <n v="2"/>
    <n v="3"/>
    <n v="8"/>
    <n v="7"/>
    <n v="1"/>
    <n v="3"/>
    <m/>
    <x v="1"/>
    <x v="2"/>
    <x v="1"/>
  </r>
  <r>
    <x v="15"/>
    <x v="1"/>
    <s v="Travel_Rarely"/>
    <n v="217"/>
    <x v="1"/>
    <n v="8"/>
    <x v="1"/>
    <s v="Life Sciences"/>
    <n v="1"/>
    <n v="1019"/>
    <n v="2"/>
    <x v="1"/>
    <n v="94"/>
    <n v="1"/>
    <n v="1"/>
    <x v="2"/>
    <n v="1"/>
    <x v="1"/>
    <n v="2451"/>
    <n v="6881"/>
    <n v="1"/>
    <s v="Y"/>
    <s v="No"/>
    <n v="15"/>
    <n v="3"/>
    <n v="1"/>
    <n v="80"/>
    <n v="1"/>
    <n v="4"/>
    <n v="3"/>
    <n v="2"/>
    <n v="4"/>
    <n v="3"/>
    <n v="1"/>
    <n v="1"/>
    <m/>
    <x v="1"/>
    <x v="0"/>
    <x v="1"/>
  </r>
  <r>
    <x v="26"/>
    <x v="1"/>
    <s v="Travel_Rarely"/>
    <n v="277"/>
    <x v="1"/>
    <n v="6"/>
    <x v="3"/>
    <s v="Life Sciences"/>
    <n v="1"/>
    <n v="1022"/>
    <n v="1"/>
    <x v="1"/>
    <n v="97"/>
    <n v="2"/>
    <n v="2"/>
    <x v="4"/>
    <n v="3"/>
    <x v="0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  <x v="1"/>
    <x v="0"/>
    <x v="1"/>
  </r>
  <r>
    <x v="26"/>
    <x v="1"/>
    <s v="Travel_Rarely"/>
    <n v="1355"/>
    <x v="1"/>
    <n v="4"/>
    <x v="2"/>
    <s v="Life Sciences"/>
    <n v="1"/>
    <n v="1024"/>
    <n v="3"/>
    <x v="1"/>
    <n v="78"/>
    <n v="2"/>
    <n v="3"/>
    <x v="4"/>
    <n v="3"/>
    <x v="0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  <x v="1"/>
    <x v="0"/>
    <x v="1"/>
  </r>
  <r>
    <x v="0"/>
    <x v="1"/>
    <s v="Travel_Rarely"/>
    <n v="549"/>
    <x v="1"/>
    <n v="7"/>
    <x v="0"/>
    <s v="Medical"/>
    <n v="1"/>
    <n v="1025"/>
    <n v="4"/>
    <x v="0"/>
    <n v="42"/>
    <n v="3"/>
    <n v="2"/>
    <x v="3"/>
    <n v="3"/>
    <x v="0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  <x v="0"/>
    <x v="2"/>
    <x v="1"/>
  </r>
  <r>
    <x v="22"/>
    <x v="1"/>
    <s v="Travel_Rarely"/>
    <n v="466"/>
    <x v="1"/>
    <n v="1"/>
    <x v="1"/>
    <s v="Life Sciences"/>
    <n v="1"/>
    <n v="1026"/>
    <n v="4"/>
    <x v="0"/>
    <n v="65"/>
    <n v="2"/>
    <n v="4"/>
    <x v="3"/>
    <n v="4"/>
    <x v="1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  <x v="0"/>
    <x v="0"/>
    <x v="1"/>
  </r>
  <r>
    <x v="4"/>
    <x v="1"/>
    <s v="Travel_Rarely"/>
    <n v="1055"/>
    <x v="1"/>
    <n v="2"/>
    <x v="2"/>
    <s v="Life Sciences"/>
    <n v="1"/>
    <n v="1027"/>
    <n v="1"/>
    <x v="0"/>
    <n v="47"/>
    <n v="3"/>
    <n v="2"/>
    <x v="3"/>
    <n v="4"/>
    <x v="1"/>
    <n v="4227"/>
    <n v="4658"/>
    <n v="0"/>
    <s v="Y"/>
    <s v="No"/>
    <n v="18"/>
    <n v="3"/>
    <n v="2"/>
    <n v="80"/>
    <n v="1"/>
    <n v="4"/>
    <n v="2"/>
    <n v="3"/>
    <n v="3"/>
    <n v="2"/>
    <n v="2"/>
    <n v="2"/>
    <m/>
    <x v="0"/>
    <x v="0"/>
    <x v="1"/>
  </r>
  <r>
    <x v="10"/>
    <x v="1"/>
    <s v="Travel_Rarely"/>
    <n v="802"/>
    <x v="1"/>
    <n v="10"/>
    <x v="3"/>
    <s v="Other"/>
    <n v="1"/>
    <n v="1028"/>
    <n v="2"/>
    <x v="1"/>
    <n v="45"/>
    <n v="3"/>
    <n v="1"/>
    <x v="2"/>
    <n v="4"/>
    <x v="2"/>
    <n v="3917"/>
    <n v="9541"/>
    <n v="1"/>
    <s v="Y"/>
    <s v="No"/>
    <n v="20"/>
    <n v="4"/>
    <n v="1"/>
    <n v="80"/>
    <n v="1"/>
    <n v="3"/>
    <n v="4"/>
    <n v="2"/>
    <n v="3"/>
    <n v="2"/>
    <n v="1"/>
    <n v="2"/>
    <m/>
    <x v="1"/>
    <x v="1"/>
    <x v="1"/>
  </r>
  <r>
    <x v="19"/>
    <x v="1"/>
    <s v="Travel_Rarely"/>
    <n v="265"/>
    <x v="0"/>
    <n v="5"/>
    <x v="0"/>
    <s v="Marketing"/>
    <n v="1"/>
    <n v="1029"/>
    <n v="4"/>
    <x v="1"/>
    <n v="90"/>
    <n v="3"/>
    <n v="5"/>
    <x v="5"/>
    <n v="3"/>
    <x v="1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  <x v="1"/>
    <x v="3"/>
    <x v="0"/>
  </r>
  <r>
    <x v="24"/>
    <x v="1"/>
    <s v="Travel_Rarely"/>
    <n v="804"/>
    <x v="1"/>
    <n v="9"/>
    <x v="3"/>
    <s v="Life Sciences"/>
    <n v="1"/>
    <n v="1030"/>
    <n v="1"/>
    <x v="1"/>
    <n v="64"/>
    <n v="3"/>
    <n v="1"/>
    <x v="2"/>
    <n v="4"/>
    <x v="1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  <x v="1"/>
    <x v="0"/>
    <x v="1"/>
  </r>
  <r>
    <x v="6"/>
    <x v="1"/>
    <s v="Travel_Rarely"/>
    <n v="715"/>
    <x v="1"/>
    <n v="2"/>
    <x v="3"/>
    <s v="Life Sciences"/>
    <n v="1"/>
    <n v="1032"/>
    <n v="3"/>
    <x v="0"/>
    <n v="69"/>
    <n v="2"/>
    <n v="4"/>
    <x v="3"/>
    <n v="4"/>
    <x v="0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  <x v="0"/>
    <x v="0"/>
    <x v="1"/>
  </r>
  <r>
    <x v="2"/>
    <x v="0"/>
    <s v="Travel_Rarely"/>
    <n v="1141"/>
    <x v="1"/>
    <n v="11"/>
    <x v="0"/>
    <s v="Medical"/>
    <n v="1"/>
    <n v="1033"/>
    <n v="1"/>
    <x v="0"/>
    <n v="61"/>
    <n v="1"/>
    <n v="2"/>
    <x v="4"/>
    <n v="2"/>
    <x v="1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  <x v="0"/>
    <x v="2"/>
    <x v="1"/>
  </r>
  <r>
    <x v="27"/>
    <x v="1"/>
    <s v="Travel_Frequently"/>
    <n v="135"/>
    <x v="1"/>
    <n v="18"/>
    <x v="2"/>
    <s v="Medical"/>
    <n v="1"/>
    <n v="1034"/>
    <n v="3"/>
    <x v="1"/>
    <n v="62"/>
    <n v="3"/>
    <n v="2"/>
    <x v="4"/>
    <n v="2"/>
    <x v="1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  <x v="1"/>
    <x v="2"/>
    <x v="1"/>
  </r>
  <r>
    <x v="0"/>
    <x v="1"/>
    <s v="Non-Travel"/>
    <n v="247"/>
    <x v="1"/>
    <n v="7"/>
    <x v="1"/>
    <s v="Life Sciences"/>
    <n v="1"/>
    <n v="1035"/>
    <n v="2"/>
    <x v="0"/>
    <n v="55"/>
    <n v="1"/>
    <n v="5"/>
    <x v="7"/>
    <n v="3"/>
    <x v="2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  <x v="0"/>
    <x v="0"/>
    <x v="1"/>
  </r>
  <r>
    <x v="8"/>
    <x v="1"/>
    <s v="Travel_Rarely"/>
    <n v="1035"/>
    <x v="0"/>
    <n v="3"/>
    <x v="2"/>
    <s v="Life Sciences"/>
    <n v="1"/>
    <n v="1036"/>
    <n v="2"/>
    <x v="1"/>
    <n v="42"/>
    <n v="3"/>
    <n v="2"/>
    <x v="0"/>
    <n v="4"/>
    <x v="0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  <x v="1"/>
    <x v="0"/>
    <x v="0"/>
  </r>
  <r>
    <x v="25"/>
    <x v="0"/>
    <s v="Non-Travel"/>
    <n v="265"/>
    <x v="0"/>
    <n v="29"/>
    <x v="0"/>
    <s v="Medical"/>
    <n v="1"/>
    <n v="1037"/>
    <n v="2"/>
    <x v="1"/>
    <n v="79"/>
    <n v="1"/>
    <n v="2"/>
    <x v="0"/>
    <n v="1"/>
    <x v="0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  <x v="1"/>
    <x v="2"/>
    <x v="0"/>
  </r>
  <r>
    <x v="39"/>
    <x v="0"/>
    <s v="Travel_Rarely"/>
    <n v="266"/>
    <x v="0"/>
    <n v="2"/>
    <x v="1"/>
    <s v="Marketing"/>
    <n v="1"/>
    <n v="1038"/>
    <n v="1"/>
    <x v="0"/>
    <n v="57"/>
    <n v="1"/>
    <n v="5"/>
    <x v="5"/>
    <n v="4"/>
    <x v="1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  <x v="0"/>
    <x v="3"/>
    <x v="0"/>
  </r>
  <r>
    <x v="20"/>
    <x v="1"/>
    <s v="Travel_Rarely"/>
    <n v="1448"/>
    <x v="0"/>
    <n v="28"/>
    <x v="3"/>
    <s v="Medical"/>
    <n v="1"/>
    <n v="1039"/>
    <n v="4"/>
    <x v="0"/>
    <n v="53"/>
    <n v="4"/>
    <n v="4"/>
    <x v="0"/>
    <n v="4"/>
    <x v="1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  <x v="0"/>
    <x v="2"/>
    <x v="0"/>
  </r>
  <r>
    <x v="24"/>
    <x v="1"/>
    <s v="Non-Travel"/>
    <n v="145"/>
    <x v="0"/>
    <n v="1"/>
    <x v="3"/>
    <s v="Life Sciences"/>
    <n v="1"/>
    <n v="1040"/>
    <n v="4"/>
    <x v="0"/>
    <n v="95"/>
    <n v="3"/>
    <n v="2"/>
    <x v="0"/>
    <n v="3"/>
    <x v="1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  <x v="0"/>
    <x v="0"/>
    <x v="0"/>
  </r>
  <r>
    <x v="9"/>
    <x v="0"/>
    <s v="Travel_Rarely"/>
    <n v="885"/>
    <x v="1"/>
    <n v="16"/>
    <x v="2"/>
    <s v="Life Sciences"/>
    <n v="1"/>
    <n v="1042"/>
    <n v="3"/>
    <x v="0"/>
    <n v="43"/>
    <n v="4"/>
    <n v="1"/>
    <x v="2"/>
    <n v="1"/>
    <x v="0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  <x v="0"/>
    <x v="0"/>
    <x v="1"/>
  </r>
  <r>
    <x v="22"/>
    <x v="1"/>
    <s v="Travel_Frequently"/>
    <n v="945"/>
    <x v="1"/>
    <n v="22"/>
    <x v="3"/>
    <s v="Medical"/>
    <n v="1"/>
    <n v="1043"/>
    <n v="4"/>
    <x v="0"/>
    <n v="82"/>
    <n v="3"/>
    <n v="3"/>
    <x v="3"/>
    <n v="1"/>
    <x v="0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  <x v="0"/>
    <x v="2"/>
    <x v="1"/>
  </r>
  <r>
    <x v="3"/>
    <x v="1"/>
    <s v="Non-Travel"/>
    <n v="1038"/>
    <x v="0"/>
    <n v="8"/>
    <x v="1"/>
    <s v="Life Sciences"/>
    <n v="1"/>
    <n v="1044"/>
    <n v="2"/>
    <x v="0"/>
    <n v="88"/>
    <n v="2"/>
    <n v="1"/>
    <x v="6"/>
    <n v="4"/>
    <x v="0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  <x v="0"/>
    <x v="0"/>
    <x v="0"/>
  </r>
  <r>
    <x v="28"/>
    <x v="1"/>
    <s v="Travel_Rarely"/>
    <n v="1234"/>
    <x v="0"/>
    <n v="11"/>
    <x v="0"/>
    <s v="Life Sciences"/>
    <n v="1"/>
    <n v="1045"/>
    <n v="4"/>
    <x v="0"/>
    <n v="90"/>
    <n v="3"/>
    <n v="4"/>
    <x v="5"/>
    <n v="4"/>
    <x v="1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  <x v="0"/>
    <x v="0"/>
    <x v="0"/>
  </r>
  <r>
    <x v="5"/>
    <x v="1"/>
    <s v="Non-Travel"/>
    <n v="1109"/>
    <x v="1"/>
    <n v="29"/>
    <x v="2"/>
    <s v="Medical"/>
    <n v="1"/>
    <n v="1046"/>
    <n v="4"/>
    <x v="0"/>
    <n v="69"/>
    <n v="3"/>
    <n v="1"/>
    <x v="2"/>
    <n v="3"/>
    <x v="0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  <x v="0"/>
    <x v="2"/>
    <x v="1"/>
  </r>
  <r>
    <x v="13"/>
    <x v="1"/>
    <s v="Travel_Rarely"/>
    <n v="216"/>
    <x v="0"/>
    <n v="1"/>
    <x v="2"/>
    <s v="Marketing"/>
    <n v="1"/>
    <n v="1047"/>
    <n v="2"/>
    <x v="1"/>
    <n v="75"/>
    <n v="4"/>
    <n v="2"/>
    <x v="0"/>
    <n v="4"/>
    <x v="2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  <x v="1"/>
    <x v="3"/>
    <x v="0"/>
  </r>
  <r>
    <x v="6"/>
    <x v="1"/>
    <s v="Travel_Rarely"/>
    <n v="1089"/>
    <x v="0"/>
    <n v="1"/>
    <x v="0"/>
    <s v="Technical Degree"/>
    <n v="1"/>
    <n v="1048"/>
    <n v="2"/>
    <x v="1"/>
    <n v="66"/>
    <n v="3"/>
    <n v="3"/>
    <x v="5"/>
    <n v="4"/>
    <x v="1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  <x v="1"/>
    <x v="4"/>
    <x v="0"/>
  </r>
  <r>
    <x v="28"/>
    <x v="1"/>
    <s v="Travel_Rarely"/>
    <n v="788"/>
    <x v="2"/>
    <n v="24"/>
    <x v="2"/>
    <s v="Medical"/>
    <n v="1"/>
    <n v="1049"/>
    <n v="2"/>
    <x v="1"/>
    <n v="36"/>
    <n v="3"/>
    <n v="1"/>
    <x v="8"/>
    <n v="2"/>
    <x v="0"/>
    <n v="2177"/>
    <n v="8318"/>
    <n v="1"/>
    <s v="Y"/>
    <s v="No"/>
    <n v="16"/>
    <n v="3"/>
    <n v="1"/>
    <n v="80"/>
    <n v="0"/>
    <n v="6"/>
    <n v="3"/>
    <n v="3"/>
    <n v="6"/>
    <n v="3"/>
    <n v="0"/>
    <n v="4"/>
    <m/>
    <x v="1"/>
    <x v="2"/>
    <x v="2"/>
  </r>
  <r>
    <x v="16"/>
    <x v="1"/>
    <s v="Travel_Frequently"/>
    <n v="124"/>
    <x v="0"/>
    <n v="2"/>
    <x v="3"/>
    <s v="Marketing"/>
    <n v="1"/>
    <n v="1050"/>
    <n v="3"/>
    <x v="0"/>
    <n v="38"/>
    <n v="2"/>
    <n v="3"/>
    <x v="0"/>
    <n v="2"/>
    <x v="1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  <x v="0"/>
    <x v="3"/>
    <x v="0"/>
  </r>
  <r>
    <x v="9"/>
    <x v="0"/>
    <s v="Travel_Rarely"/>
    <n v="660"/>
    <x v="1"/>
    <n v="15"/>
    <x v="3"/>
    <s v="Other"/>
    <n v="1"/>
    <n v="1052"/>
    <n v="1"/>
    <x v="1"/>
    <n v="81"/>
    <n v="3"/>
    <n v="2"/>
    <x v="2"/>
    <n v="3"/>
    <x v="2"/>
    <n v="4834"/>
    <n v="7858"/>
    <n v="7"/>
    <s v="Y"/>
    <s v="No"/>
    <n v="14"/>
    <n v="3"/>
    <n v="2"/>
    <n v="80"/>
    <n v="1"/>
    <n v="9"/>
    <n v="3"/>
    <n v="2"/>
    <n v="1"/>
    <n v="0"/>
    <n v="0"/>
    <n v="0"/>
    <m/>
    <x v="1"/>
    <x v="1"/>
    <x v="1"/>
  </r>
  <r>
    <x v="25"/>
    <x v="0"/>
    <s v="Travel_Frequently"/>
    <n v="342"/>
    <x v="1"/>
    <n v="2"/>
    <x v="3"/>
    <s v="Life Sciences"/>
    <n v="1"/>
    <n v="1053"/>
    <n v="1"/>
    <x v="1"/>
    <n v="57"/>
    <n v="3"/>
    <n v="1"/>
    <x v="1"/>
    <n v="1"/>
    <x v="1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  <x v="1"/>
    <x v="0"/>
    <x v="1"/>
  </r>
  <r>
    <x v="13"/>
    <x v="1"/>
    <s v="Travel_Rarely"/>
    <n v="1333"/>
    <x v="0"/>
    <n v="10"/>
    <x v="2"/>
    <s v="Life Sciences"/>
    <n v="1"/>
    <n v="1055"/>
    <n v="3"/>
    <x v="0"/>
    <n v="87"/>
    <n v="3"/>
    <n v="1"/>
    <x v="6"/>
    <n v="3"/>
    <x v="1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  <x v="0"/>
    <x v="0"/>
    <x v="0"/>
  </r>
  <r>
    <x v="14"/>
    <x v="1"/>
    <s v="Travel_Rarely"/>
    <n v="1144"/>
    <x v="0"/>
    <n v="10"/>
    <x v="1"/>
    <s v="Medical"/>
    <n v="1"/>
    <n v="1056"/>
    <n v="4"/>
    <x v="1"/>
    <n v="74"/>
    <n v="3"/>
    <n v="1"/>
    <x v="6"/>
    <n v="2"/>
    <x v="1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  <x v="1"/>
    <x v="2"/>
    <x v="0"/>
  </r>
  <r>
    <x v="8"/>
    <x v="1"/>
    <s v="Travel_Frequently"/>
    <n v="1186"/>
    <x v="1"/>
    <n v="3"/>
    <x v="2"/>
    <s v="Other"/>
    <n v="1"/>
    <n v="1060"/>
    <n v="3"/>
    <x v="1"/>
    <n v="44"/>
    <n v="3"/>
    <n v="1"/>
    <x v="1"/>
    <n v="3"/>
    <x v="1"/>
    <n v="2821"/>
    <n v="2997"/>
    <n v="3"/>
    <s v="Y"/>
    <s v="No"/>
    <n v="16"/>
    <n v="3"/>
    <n v="1"/>
    <n v="80"/>
    <n v="1"/>
    <n v="8"/>
    <n v="2"/>
    <n v="3"/>
    <n v="2"/>
    <n v="2"/>
    <n v="2"/>
    <n v="2"/>
    <m/>
    <x v="1"/>
    <x v="1"/>
    <x v="1"/>
  </r>
  <r>
    <x v="24"/>
    <x v="1"/>
    <s v="Travel_Rarely"/>
    <n v="1464"/>
    <x v="1"/>
    <n v="2"/>
    <x v="2"/>
    <s v="Medical"/>
    <n v="1"/>
    <n v="1061"/>
    <n v="2"/>
    <x v="1"/>
    <n v="62"/>
    <n v="3"/>
    <n v="5"/>
    <x v="7"/>
    <n v="3"/>
    <x v="1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  <x v="1"/>
    <x v="2"/>
    <x v="1"/>
  </r>
  <r>
    <x v="2"/>
    <x v="1"/>
    <s v="Travel_Rarely"/>
    <n v="124"/>
    <x v="1"/>
    <n v="3"/>
    <x v="3"/>
    <s v="Other"/>
    <n v="1"/>
    <n v="1062"/>
    <n v="4"/>
    <x v="0"/>
    <n v="35"/>
    <n v="3"/>
    <n v="2"/>
    <x v="4"/>
    <n v="2"/>
    <x v="0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  <x v="0"/>
    <x v="1"/>
    <x v="1"/>
  </r>
  <r>
    <x v="32"/>
    <x v="1"/>
    <s v="Travel_Rarely"/>
    <n v="300"/>
    <x v="0"/>
    <n v="26"/>
    <x v="3"/>
    <s v="Marketing"/>
    <n v="1"/>
    <n v="1066"/>
    <n v="3"/>
    <x v="1"/>
    <n v="74"/>
    <n v="3"/>
    <n v="2"/>
    <x v="0"/>
    <n v="1"/>
    <x v="1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  <x v="1"/>
    <x v="3"/>
    <x v="0"/>
  </r>
  <r>
    <x v="25"/>
    <x v="1"/>
    <s v="Travel_Frequently"/>
    <n v="921"/>
    <x v="1"/>
    <n v="1"/>
    <x v="1"/>
    <s v="Medical"/>
    <n v="1"/>
    <n v="1068"/>
    <n v="1"/>
    <x v="0"/>
    <n v="66"/>
    <n v="2"/>
    <n v="1"/>
    <x v="1"/>
    <n v="3"/>
    <x v="2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  <x v="0"/>
    <x v="2"/>
    <x v="1"/>
  </r>
  <r>
    <x v="21"/>
    <x v="1"/>
    <s v="Travel_Rarely"/>
    <n v="430"/>
    <x v="1"/>
    <n v="1"/>
    <x v="2"/>
    <s v="Medical"/>
    <n v="1"/>
    <n v="1069"/>
    <n v="4"/>
    <x v="1"/>
    <n v="40"/>
    <n v="3"/>
    <n v="5"/>
    <x v="7"/>
    <n v="4"/>
    <x v="2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  <x v="1"/>
    <x v="2"/>
    <x v="1"/>
  </r>
  <r>
    <x v="33"/>
    <x v="1"/>
    <s v="Travel_Rarely"/>
    <n v="1082"/>
    <x v="0"/>
    <n v="2"/>
    <x v="2"/>
    <s v="Life Sciences"/>
    <n v="1"/>
    <n v="1070"/>
    <n v="3"/>
    <x v="0"/>
    <n v="41"/>
    <n v="2"/>
    <n v="3"/>
    <x v="0"/>
    <n v="3"/>
    <x v="1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  <x v="0"/>
    <x v="0"/>
    <x v="0"/>
  </r>
  <r>
    <x v="29"/>
    <x v="1"/>
    <s v="Travel_Frequently"/>
    <n v="1240"/>
    <x v="1"/>
    <n v="9"/>
    <x v="3"/>
    <s v="Medical"/>
    <n v="1"/>
    <n v="1071"/>
    <n v="1"/>
    <x v="0"/>
    <n v="63"/>
    <n v="3"/>
    <n v="1"/>
    <x v="1"/>
    <n v="3"/>
    <x v="1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  <x v="0"/>
    <x v="2"/>
    <x v="1"/>
  </r>
  <r>
    <x v="9"/>
    <x v="1"/>
    <s v="Travel_Rarely"/>
    <n v="796"/>
    <x v="1"/>
    <n v="12"/>
    <x v="4"/>
    <s v="Medical"/>
    <n v="1"/>
    <n v="1073"/>
    <n v="4"/>
    <x v="0"/>
    <n v="51"/>
    <n v="2"/>
    <n v="3"/>
    <x v="3"/>
    <n v="4"/>
    <x v="0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  <x v="0"/>
    <x v="2"/>
    <x v="1"/>
  </r>
  <r>
    <x v="27"/>
    <x v="1"/>
    <s v="Non-Travel"/>
    <n v="444"/>
    <x v="1"/>
    <n v="2"/>
    <x v="1"/>
    <s v="Medical"/>
    <n v="1"/>
    <n v="1074"/>
    <n v="3"/>
    <x v="1"/>
    <n v="40"/>
    <n v="2"/>
    <n v="4"/>
    <x v="5"/>
    <n v="1"/>
    <x v="0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  <x v="1"/>
    <x v="2"/>
    <x v="1"/>
  </r>
  <r>
    <x v="23"/>
    <x v="1"/>
    <s v="Travel_Rarely"/>
    <n v="415"/>
    <x v="0"/>
    <n v="25"/>
    <x v="3"/>
    <s v="Medical"/>
    <n v="1"/>
    <n v="1076"/>
    <n v="3"/>
    <x v="1"/>
    <n v="79"/>
    <n v="2"/>
    <n v="3"/>
    <x v="0"/>
    <n v="4"/>
    <x v="2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  <x v="1"/>
    <x v="2"/>
    <x v="0"/>
  </r>
  <r>
    <x v="35"/>
    <x v="0"/>
    <s v="Travel_Frequently"/>
    <n v="769"/>
    <x v="0"/>
    <n v="9"/>
    <x v="3"/>
    <s v="Marketing"/>
    <n v="1"/>
    <n v="1077"/>
    <n v="4"/>
    <x v="0"/>
    <n v="54"/>
    <n v="3"/>
    <n v="1"/>
    <x v="6"/>
    <n v="4"/>
    <x v="0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  <x v="0"/>
    <x v="3"/>
    <x v="0"/>
  </r>
  <r>
    <x v="18"/>
    <x v="0"/>
    <s v="Travel_Rarely"/>
    <n v="1334"/>
    <x v="1"/>
    <n v="10"/>
    <x v="3"/>
    <s v="Life Sciences"/>
    <n v="1"/>
    <n v="1079"/>
    <n v="3"/>
    <x v="0"/>
    <n v="36"/>
    <n v="2"/>
    <n v="1"/>
    <x v="2"/>
    <n v="1"/>
    <x v="0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  <x v="0"/>
    <x v="0"/>
    <x v="1"/>
  </r>
  <r>
    <x v="21"/>
    <x v="1"/>
    <s v="Travel_Rarely"/>
    <n v="1003"/>
    <x v="1"/>
    <n v="8"/>
    <x v="2"/>
    <s v="Life Sciences"/>
    <n v="1"/>
    <n v="1080"/>
    <n v="4"/>
    <x v="0"/>
    <n v="74"/>
    <n v="2"/>
    <n v="2"/>
    <x v="1"/>
    <n v="1"/>
    <x v="2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  <x v="0"/>
    <x v="0"/>
    <x v="1"/>
  </r>
  <r>
    <x v="31"/>
    <x v="0"/>
    <s v="Travel_Rarely"/>
    <n v="1323"/>
    <x v="1"/>
    <n v="4"/>
    <x v="2"/>
    <s v="Life Sciences"/>
    <n v="1"/>
    <n v="1081"/>
    <n v="1"/>
    <x v="1"/>
    <n v="34"/>
    <n v="3"/>
    <n v="1"/>
    <x v="1"/>
    <n v="3"/>
    <x v="1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  <x v="1"/>
    <x v="0"/>
    <x v="1"/>
  </r>
  <r>
    <x v="14"/>
    <x v="0"/>
    <s v="Non-Travel"/>
    <n v="1366"/>
    <x v="1"/>
    <n v="24"/>
    <x v="0"/>
    <s v="Technical Degree"/>
    <n v="1"/>
    <n v="1082"/>
    <n v="2"/>
    <x v="1"/>
    <n v="72"/>
    <n v="2"/>
    <n v="3"/>
    <x v="4"/>
    <n v="1"/>
    <x v="0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  <x v="1"/>
    <x v="4"/>
    <x v="1"/>
  </r>
  <r>
    <x v="25"/>
    <x v="1"/>
    <s v="Travel_Rarely"/>
    <n v="192"/>
    <x v="1"/>
    <n v="1"/>
    <x v="0"/>
    <s v="Medical"/>
    <n v="1"/>
    <n v="1083"/>
    <n v="1"/>
    <x v="1"/>
    <n v="59"/>
    <n v="2"/>
    <n v="1"/>
    <x v="2"/>
    <n v="1"/>
    <x v="1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  <x v="1"/>
    <x v="2"/>
    <x v="1"/>
  </r>
  <r>
    <x v="7"/>
    <x v="1"/>
    <s v="Travel_Rarely"/>
    <n v="1176"/>
    <x v="1"/>
    <n v="20"/>
    <x v="3"/>
    <s v="Other"/>
    <n v="1"/>
    <n v="1084"/>
    <n v="3"/>
    <x v="1"/>
    <n v="85"/>
    <n v="3"/>
    <n v="2"/>
    <x v="3"/>
    <n v="1"/>
    <x v="1"/>
    <n v="9957"/>
    <n v="9096"/>
    <n v="0"/>
    <s v="Y"/>
    <s v="No"/>
    <n v="15"/>
    <n v="3"/>
    <n v="3"/>
    <n v="80"/>
    <n v="1"/>
    <n v="7"/>
    <n v="1"/>
    <n v="2"/>
    <n v="6"/>
    <n v="2"/>
    <n v="0"/>
    <n v="2"/>
    <m/>
    <x v="1"/>
    <x v="1"/>
    <x v="1"/>
  </r>
  <r>
    <x v="0"/>
    <x v="1"/>
    <s v="Travel_Rarely"/>
    <n v="509"/>
    <x v="1"/>
    <n v="7"/>
    <x v="0"/>
    <s v="Technical Degree"/>
    <n v="1"/>
    <n v="1085"/>
    <n v="2"/>
    <x v="0"/>
    <n v="43"/>
    <n v="4"/>
    <n v="1"/>
    <x v="1"/>
    <n v="3"/>
    <x v="1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  <x v="0"/>
    <x v="4"/>
    <x v="1"/>
  </r>
  <r>
    <x v="8"/>
    <x v="1"/>
    <s v="Travel_Rarely"/>
    <n v="330"/>
    <x v="1"/>
    <n v="17"/>
    <x v="1"/>
    <s v="Life Sciences"/>
    <n v="1"/>
    <n v="1088"/>
    <n v="3"/>
    <x v="0"/>
    <n v="65"/>
    <n v="2"/>
    <n v="3"/>
    <x v="4"/>
    <n v="3"/>
    <x v="1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  <x v="0"/>
    <x v="0"/>
    <x v="1"/>
  </r>
  <r>
    <x v="32"/>
    <x v="1"/>
    <s v="Travel_Rarely"/>
    <n v="1492"/>
    <x v="1"/>
    <n v="20"/>
    <x v="2"/>
    <s v="Technical Degree"/>
    <n v="1"/>
    <n v="1092"/>
    <n v="1"/>
    <x v="1"/>
    <n v="61"/>
    <n v="3"/>
    <n v="3"/>
    <x v="4"/>
    <n v="4"/>
    <x v="1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  <x v="1"/>
    <x v="4"/>
    <x v="1"/>
  </r>
  <r>
    <x v="4"/>
    <x v="1"/>
    <s v="Non-Travel"/>
    <n v="1277"/>
    <x v="1"/>
    <n v="8"/>
    <x v="4"/>
    <s v="Life Sciences"/>
    <n v="1"/>
    <n v="1094"/>
    <n v="1"/>
    <x v="1"/>
    <n v="87"/>
    <n v="1"/>
    <n v="1"/>
    <x v="2"/>
    <n v="3"/>
    <x v="1"/>
    <n v="4621"/>
    <n v="5869"/>
    <n v="1"/>
    <s v="Y"/>
    <s v="No"/>
    <n v="19"/>
    <n v="3"/>
    <n v="4"/>
    <n v="80"/>
    <n v="3"/>
    <n v="3"/>
    <n v="4"/>
    <n v="3"/>
    <n v="3"/>
    <n v="2"/>
    <n v="1"/>
    <n v="2"/>
    <m/>
    <x v="1"/>
    <x v="0"/>
    <x v="1"/>
  </r>
  <r>
    <x v="27"/>
    <x v="1"/>
    <s v="Travel_Frequently"/>
    <n v="1091"/>
    <x v="1"/>
    <n v="2"/>
    <x v="1"/>
    <s v="Life Sciences"/>
    <n v="1"/>
    <n v="1096"/>
    <n v="4"/>
    <x v="1"/>
    <n v="65"/>
    <n v="3"/>
    <n v="3"/>
    <x v="3"/>
    <n v="2"/>
    <x v="1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  <x v="1"/>
    <x v="0"/>
    <x v="1"/>
  </r>
  <r>
    <x v="14"/>
    <x v="1"/>
    <s v="Travel_Rarely"/>
    <n v="857"/>
    <x v="1"/>
    <n v="10"/>
    <x v="3"/>
    <s v="Other"/>
    <n v="1"/>
    <n v="1097"/>
    <n v="3"/>
    <x v="0"/>
    <n v="59"/>
    <n v="3"/>
    <n v="2"/>
    <x v="1"/>
    <n v="3"/>
    <x v="0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  <x v="0"/>
    <x v="1"/>
    <x v="1"/>
  </r>
  <r>
    <x v="20"/>
    <x v="0"/>
    <s v="Travel_Rarely"/>
    <n v="1376"/>
    <x v="2"/>
    <n v="1"/>
    <x v="0"/>
    <s v="Medical"/>
    <n v="1"/>
    <n v="1098"/>
    <n v="2"/>
    <x v="1"/>
    <n v="91"/>
    <n v="2"/>
    <n v="3"/>
    <x v="8"/>
    <n v="1"/>
    <x v="1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  <x v="1"/>
    <x v="2"/>
    <x v="2"/>
  </r>
  <r>
    <x v="3"/>
    <x v="1"/>
    <s v="Travel_Rarely"/>
    <n v="654"/>
    <x v="1"/>
    <n v="5"/>
    <x v="3"/>
    <s v="Life Sciences"/>
    <n v="1"/>
    <n v="1099"/>
    <n v="4"/>
    <x v="1"/>
    <n v="34"/>
    <n v="2"/>
    <n v="3"/>
    <x v="4"/>
    <n v="4"/>
    <x v="2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  <x v="1"/>
    <x v="0"/>
    <x v="1"/>
  </r>
  <r>
    <x v="10"/>
    <x v="0"/>
    <s v="Travel_Rarely"/>
    <n v="1204"/>
    <x v="0"/>
    <n v="4"/>
    <x v="3"/>
    <s v="Technical Degree"/>
    <n v="1"/>
    <n v="1100"/>
    <n v="4"/>
    <x v="1"/>
    <n v="86"/>
    <n v="3"/>
    <n v="3"/>
    <x v="0"/>
    <n v="1"/>
    <x v="0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  <x v="1"/>
    <x v="4"/>
    <x v="0"/>
  </r>
  <r>
    <x v="3"/>
    <x v="0"/>
    <s v="Travel_Frequently"/>
    <n v="827"/>
    <x v="1"/>
    <n v="29"/>
    <x v="2"/>
    <s v="Medical"/>
    <n v="1"/>
    <n v="1101"/>
    <n v="1"/>
    <x v="0"/>
    <n v="54"/>
    <n v="2"/>
    <n v="2"/>
    <x v="1"/>
    <n v="3"/>
    <x v="0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  <x v="0"/>
    <x v="2"/>
    <x v="1"/>
  </r>
  <r>
    <x v="14"/>
    <x v="1"/>
    <s v="Travel_Rarely"/>
    <n v="895"/>
    <x v="1"/>
    <n v="15"/>
    <x v="0"/>
    <s v="Life Sciences"/>
    <n v="1"/>
    <n v="1102"/>
    <n v="1"/>
    <x v="1"/>
    <n v="50"/>
    <n v="3"/>
    <n v="1"/>
    <x v="2"/>
    <n v="3"/>
    <x v="2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  <x v="1"/>
    <x v="0"/>
    <x v="1"/>
  </r>
  <r>
    <x v="13"/>
    <x v="1"/>
    <s v="Travel_Frequently"/>
    <n v="618"/>
    <x v="1"/>
    <n v="3"/>
    <x v="1"/>
    <s v="Life Sciences"/>
    <n v="1"/>
    <n v="1103"/>
    <n v="1"/>
    <x v="1"/>
    <n v="45"/>
    <n v="3"/>
    <n v="2"/>
    <x v="4"/>
    <n v="4"/>
    <x v="0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  <x v="1"/>
    <x v="0"/>
    <x v="1"/>
  </r>
  <r>
    <x v="2"/>
    <x v="1"/>
    <s v="Travel_Rarely"/>
    <n v="309"/>
    <x v="0"/>
    <n v="10"/>
    <x v="2"/>
    <s v="Life Sciences"/>
    <n v="1"/>
    <n v="1105"/>
    <n v="4"/>
    <x v="0"/>
    <n v="88"/>
    <n v="2"/>
    <n v="2"/>
    <x v="0"/>
    <n v="4"/>
    <x v="2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  <x v="0"/>
    <x v="0"/>
    <x v="0"/>
  </r>
  <r>
    <x v="36"/>
    <x v="0"/>
    <s v="Travel_Rarely"/>
    <n v="1219"/>
    <x v="1"/>
    <n v="4"/>
    <x v="1"/>
    <s v="Technical Degree"/>
    <n v="1"/>
    <n v="1106"/>
    <n v="4"/>
    <x v="1"/>
    <n v="32"/>
    <n v="3"/>
    <n v="1"/>
    <x v="2"/>
    <n v="4"/>
    <x v="1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  <x v="1"/>
    <x v="4"/>
    <x v="1"/>
  </r>
  <r>
    <x v="25"/>
    <x v="0"/>
    <s v="Travel_Rarely"/>
    <n v="1330"/>
    <x v="1"/>
    <n v="21"/>
    <x v="3"/>
    <s v="Medical"/>
    <n v="1"/>
    <n v="1107"/>
    <n v="1"/>
    <x v="1"/>
    <n v="37"/>
    <n v="3"/>
    <n v="1"/>
    <x v="2"/>
    <n v="3"/>
    <x v="2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  <x v="1"/>
    <x v="2"/>
    <x v="1"/>
  </r>
  <r>
    <x v="3"/>
    <x v="0"/>
    <s v="Travel_Rarely"/>
    <n v="1017"/>
    <x v="1"/>
    <n v="25"/>
    <x v="3"/>
    <s v="Medical"/>
    <n v="1"/>
    <n v="1108"/>
    <n v="1"/>
    <x v="1"/>
    <n v="55"/>
    <n v="2"/>
    <n v="1"/>
    <x v="1"/>
    <n v="2"/>
    <x v="0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  <x v="1"/>
    <x v="2"/>
    <x v="1"/>
  </r>
  <r>
    <x v="19"/>
    <x v="1"/>
    <s v="Travel_Rarely"/>
    <n v="469"/>
    <x v="1"/>
    <n v="2"/>
    <x v="0"/>
    <s v="Medical"/>
    <n v="1"/>
    <n v="1109"/>
    <n v="4"/>
    <x v="1"/>
    <n v="35"/>
    <n v="3"/>
    <n v="4"/>
    <x v="5"/>
    <n v="1"/>
    <x v="1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  <x v="1"/>
    <x v="2"/>
    <x v="1"/>
  </r>
  <r>
    <x v="14"/>
    <x v="0"/>
    <s v="Travel_Frequently"/>
    <n v="1009"/>
    <x v="1"/>
    <n v="1"/>
    <x v="3"/>
    <s v="Medical"/>
    <n v="1"/>
    <n v="1111"/>
    <n v="1"/>
    <x v="1"/>
    <n v="45"/>
    <n v="2"/>
    <n v="1"/>
    <x v="2"/>
    <n v="2"/>
    <x v="2"/>
    <n v="2596"/>
    <n v="7160"/>
    <n v="1"/>
    <s v="Y"/>
    <s v="No"/>
    <n v="15"/>
    <n v="3"/>
    <n v="1"/>
    <n v="80"/>
    <n v="2"/>
    <n v="1"/>
    <n v="2"/>
    <n v="3"/>
    <n v="1"/>
    <n v="0"/>
    <n v="0"/>
    <n v="0"/>
    <m/>
    <x v="1"/>
    <x v="2"/>
    <x v="1"/>
  </r>
  <r>
    <x v="24"/>
    <x v="0"/>
    <s v="Travel_Frequently"/>
    <n v="959"/>
    <x v="0"/>
    <n v="1"/>
    <x v="2"/>
    <s v="Other"/>
    <n v="1"/>
    <n v="1113"/>
    <n v="4"/>
    <x v="1"/>
    <n v="81"/>
    <n v="3"/>
    <n v="2"/>
    <x v="0"/>
    <n v="3"/>
    <x v="0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  <x v="1"/>
    <x v="1"/>
    <x v="0"/>
  </r>
  <r>
    <x v="3"/>
    <x v="1"/>
    <s v="Travel_Frequently"/>
    <n v="970"/>
    <x v="0"/>
    <n v="7"/>
    <x v="3"/>
    <s v="Life Sciences"/>
    <n v="1"/>
    <n v="1114"/>
    <n v="4"/>
    <x v="0"/>
    <n v="30"/>
    <n v="3"/>
    <n v="2"/>
    <x v="0"/>
    <n v="2"/>
    <x v="1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  <x v="0"/>
    <x v="0"/>
    <x v="0"/>
  </r>
  <r>
    <x v="13"/>
    <x v="1"/>
    <s v="Non-Travel"/>
    <n v="697"/>
    <x v="1"/>
    <n v="3"/>
    <x v="2"/>
    <s v="Life Sciences"/>
    <n v="1"/>
    <n v="1115"/>
    <n v="3"/>
    <x v="1"/>
    <n v="40"/>
    <n v="2"/>
    <n v="1"/>
    <x v="1"/>
    <n v="4"/>
    <x v="1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  <x v="1"/>
    <x v="0"/>
    <x v="1"/>
  </r>
  <r>
    <x v="26"/>
    <x v="1"/>
    <s v="Non-Travel"/>
    <n v="1262"/>
    <x v="1"/>
    <n v="1"/>
    <x v="2"/>
    <s v="Medical"/>
    <n v="1"/>
    <n v="1116"/>
    <n v="1"/>
    <x v="1"/>
    <n v="35"/>
    <n v="4"/>
    <n v="4"/>
    <x v="5"/>
    <n v="4"/>
    <x v="0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  <x v="1"/>
    <x v="2"/>
    <x v="1"/>
  </r>
  <r>
    <x v="28"/>
    <x v="1"/>
    <s v="Non-Travel"/>
    <n v="1050"/>
    <x v="0"/>
    <n v="9"/>
    <x v="2"/>
    <s v="Life Sciences"/>
    <n v="1"/>
    <n v="1117"/>
    <n v="2"/>
    <x v="0"/>
    <n v="65"/>
    <n v="2"/>
    <n v="2"/>
    <x v="0"/>
    <n v="3"/>
    <x v="1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  <x v="0"/>
    <x v="0"/>
    <x v="0"/>
  </r>
  <r>
    <x v="39"/>
    <x v="1"/>
    <s v="Travel_Rarely"/>
    <n v="994"/>
    <x v="1"/>
    <n v="7"/>
    <x v="2"/>
    <s v="Life Sciences"/>
    <n v="1"/>
    <n v="1118"/>
    <n v="2"/>
    <x v="1"/>
    <n v="87"/>
    <n v="3"/>
    <n v="3"/>
    <x v="4"/>
    <n v="2"/>
    <x v="0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  <x v="1"/>
    <x v="0"/>
    <x v="1"/>
  </r>
  <r>
    <x v="8"/>
    <x v="1"/>
    <s v="Travel_Rarely"/>
    <n v="770"/>
    <x v="0"/>
    <n v="10"/>
    <x v="2"/>
    <s v="Marketing"/>
    <n v="1"/>
    <n v="1119"/>
    <n v="3"/>
    <x v="1"/>
    <n v="73"/>
    <n v="2"/>
    <n v="3"/>
    <x v="0"/>
    <n v="3"/>
    <x v="2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  <x v="1"/>
    <x v="3"/>
    <x v="0"/>
  </r>
  <r>
    <x v="11"/>
    <x v="1"/>
    <s v="Travel_Rarely"/>
    <n v="1107"/>
    <x v="1"/>
    <n v="28"/>
    <x v="2"/>
    <s v="Life Sciences"/>
    <n v="1"/>
    <n v="1120"/>
    <n v="3"/>
    <x v="0"/>
    <n v="93"/>
    <n v="3"/>
    <n v="1"/>
    <x v="1"/>
    <n v="4"/>
    <x v="2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  <x v="0"/>
    <x v="0"/>
    <x v="1"/>
  </r>
  <r>
    <x v="14"/>
    <x v="1"/>
    <s v="Travel_Rarely"/>
    <n v="950"/>
    <x v="1"/>
    <n v="3"/>
    <x v="3"/>
    <s v="Medical"/>
    <n v="1"/>
    <n v="1121"/>
    <n v="4"/>
    <x v="0"/>
    <n v="93"/>
    <n v="3"/>
    <n v="3"/>
    <x v="3"/>
    <n v="2"/>
    <x v="2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  <x v="0"/>
    <x v="2"/>
    <x v="1"/>
  </r>
  <r>
    <x v="21"/>
    <x v="1"/>
    <s v="Travel_Rarely"/>
    <n v="406"/>
    <x v="0"/>
    <n v="3"/>
    <x v="1"/>
    <s v="Marketing"/>
    <n v="1"/>
    <n v="1124"/>
    <n v="1"/>
    <x v="1"/>
    <n v="52"/>
    <n v="3"/>
    <n v="4"/>
    <x v="5"/>
    <n v="3"/>
    <x v="1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  <x v="1"/>
    <x v="3"/>
    <x v="0"/>
  </r>
  <r>
    <x v="8"/>
    <x v="1"/>
    <s v="Travel_Rarely"/>
    <n v="130"/>
    <x v="0"/>
    <n v="2"/>
    <x v="0"/>
    <s v="Marketing"/>
    <n v="1"/>
    <n v="1125"/>
    <n v="4"/>
    <x v="1"/>
    <n v="32"/>
    <n v="3"/>
    <n v="3"/>
    <x v="0"/>
    <n v="2"/>
    <x v="0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  <x v="1"/>
    <x v="3"/>
    <x v="0"/>
  </r>
  <r>
    <x v="23"/>
    <x v="1"/>
    <s v="Travel_Frequently"/>
    <n v="1082"/>
    <x v="1"/>
    <n v="27"/>
    <x v="3"/>
    <s v="Life Sciences"/>
    <n v="1"/>
    <n v="1126"/>
    <n v="3"/>
    <x v="0"/>
    <n v="83"/>
    <n v="3"/>
    <n v="3"/>
    <x v="3"/>
    <n v="1"/>
    <x v="1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  <x v="0"/>
    <x v="0"/>
    <x v="1"/>
  </r>
  <r>
    <x v="22"/>
    <x v="0"/>
    <s v="Travel_Frequently"/>
    <n v="203"/>
    <x v="1"/>
    <n v="2"/>
    <x v="3"/>
    <s v="Life Sciences"/>
    <n v="1"/>
    <n v="1127"/>
    <n v="1"/>
    <x v="1"/>
    <n v="84"/>
    <n v="3"/>
    <n v="4"/>
    <x v="4"/>
    <n v="4"/>
    <x v="2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  <x v="1"/>
    <x v="0"/>
    <x v="1"/>
  </r>
  <r>
    <x v="32"/>
    <x v="1"/>
    <s v="Travel_Rarely"/>
    <n v="1308"/>
    <x v="1"/>
    <n v="14"/>
    <x v="3"/>
    <s v="Medical"/>
    <n v="1"/>
    <n v="1128"/>
    <n v="3"/>
    <x v="1"/>
    <n v="44"/>
    <n v="2"/>
    <n v="5"/>
    <x v="7"/>
    <n v="3"/>
    <x v="0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  <x v="1"/>
    <x v="2"/>
    <x v="1"/>
  </r>
  <r>
    <x v="18"/>
    <x v="1"/>
    <s v="Travel_Rarely"/>
    <n v="984"/>
    <x v="1"/>
    <n v="1"/>
    <x v="1"/>
    <s v="Technical Degree"/>
    <n v="1"/>
    <n v="1131"/>
    <n v="4"/>
    <x v="0"/>
    <n v="70"/>
    <n v="2"/>
    <n v="1"/>
    <x v="1"/>
    <n v="2"/>
    <x v="0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  <x v="0"/>
    <x v="4"/>
    <x v="1"/>
  </r>
  <r>
    <x v="22"/>
    <x v="1"/>
    <s v="Non-Travel"/>
    <n v="439"/>
    <x v="1"/>
    <n v="9"/>
    <x v="3"/>
    <s v="Life Sciences"/>
    <n v="1"/>
    <n v="1132"/>
    <n v="3"/>
    <x v="1"/>
    <n v="70"/>
    <n v="3"/>
    <n v="2"/>
    <x v="2"/>
    <n v="2"/>
    <x v="0"/>
    <n v="6782"/>
    <n v="8770"/>
    <n v="9"/>
    <s v="Y"/>
    <s v="No"/>
    <n v="15"/>
    <n v="3"/>
    <n v="3"/>
    <n v="80"/>
    <n v="0"/>
    <n v="9"/>
    <n v="2"/>
    <n v="2"/>
    <n v="5"/>
    <n v="4"/>
    <n v="0"/>
    <n v="3"/>
    <m/>
    <x v="1"/>
    <x v="0"/>
    <x v="1"/>
  </r>
  <r>
    <x v="9"/>
    <x v="1"/>
    <s v="Non-Travel"/>
    <n v="217"/>
    <x v="1"/>
    <n v="18"/>
    <x v="2"/>
    <s v="Life Sciences"/>
    <n v="1"/>
    <n v="1133"/>
    <n v="1"/>
    <x v="1"/>
    <n v="78"/>
    <n v="3"/>
    <n v="2"/>
    <x v="3"/>
    <n v="4"/>
    <x v="0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  <x v="1"/>
    <x v="0"/>
    <x v="1"/>
  </r>
  <r>
    <x v="12"/>
    <x v="1"/>
    <s v="Travel_Frequently"/>
    <n v="793"/>
    <x v="0"/>
    <n v="20"/>
    <x v="3"/>
    <s v="Life Sciences"/>
    <n v="1"/>
    <n v="1135"/>
    <n v="3"/>
    <x v="1"/>
    <n v="67"/>
    <n v="4"/>
    <n v="1"/>
    <x v="6"/>
    <n v="4"/>
    <x v="1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  <x v="1"/>
    <x v="0"/>
    <x v="0"/>
  </r>
  <r>
    <x v="14"/>
    <x v="1"/>
    <s v="Travel_Rarely"/>
    <n v="1451"/>
    <x v="1"/>
    <n v="2"/>
    <x v="1"/>
    <s v="Life Sciences"/>
    <n v="1"/>
    <n v="1136"/>
    <n v="1"/>
    <x v="1"/>
    <n v="67"/>
    <n v="2"/>
    <n v="1"/>
    <x v="1"/>
    <n v="2"/>
    <x v="1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  <x v="1"/>
    <x v="0"/>
    <x v="1"/>
  </r>
  <r>
    <x v="10"/>
    <x v="1"/>
    <s v="Travel_Frequently"/>
    <n v="1182"/>
    <x v="0"/>
    <n v="11"/>
    <x v="0"/>
    <s v="Marketing"/>
    <n v="1"/>
    <n v="1137"/>
    <n v="4"/>
    <x v="1"/>
    <n v="54"/>
    <n v="3"/>
    <n v="2"/>
    <x v="0"/>
    <n v="4"/>
    <x v="2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  <x v="1"/>
    <x v="3"/>
    <x v="0"/>
  </r>
  <r>
    <x v="1"/>
    <x v="1"/>
    <s v="Travel_Rarely"/>
    <n v="174"/>
    <x v="0"/>
    <n v="8"/>
    <x v="2"/>
    <s v="Technical Degree"/>
    <n v="1"/>
    <n v="1138"/>
    <n v="4"/>
    <x v="1"/>
    <n v="56"/>
    <n v="2"/>
    <n v="4"/>
    <x v="0"/>
    <n v="2"/>
    <x v="1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  <x v="1"/>
    <x v="4"/>
    <x v="0"/>
  </r>
  <r>
    <x v="13"/>
    <x v="1"/>
    <s v="Travel_Frequently"/>
    <n v="1003"/>
    <x v="1"/>
    <n v="2"/>
    <x v="0"/>
    <s v="Life Sciences"/>
    <n v="1"/>
    <n v="1140"/>
    <n v="4"/>
    <x v="1"/>
    <n v="95"/>
    <n v="3"/>
    <n v="2"/>
    <x v="3"/>
    <n v="3"/>
    <x v="0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  <x v="1"/>
    <x v="0"/>
    <x v="1"/>
  </r>
  <r>
    <x v="11"/>
    <x v="1"/>
    <s v="Travel_Frequently"/>
    <n v="490"/>
    <x v="1"/>
    <n v="10"/>
    <x v="3"/>
    <s v="Life Sciences"/>
    <n v="1"/>
    <n v="1143"/>
    <n v="4"/>
    <x v="0"/>
    <n v="61"/>
    <n v="3"/>
    <n v="1"/>
    <x v="1"/>
    <n v="2"/>
    <x v="2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  <x v="0"/>
    <x v="0"/>
    <x v="1"/>
  </r>
  <r>
    <x v="19"/>
    <x v="1"/>
    <s v="Travel_Rarely"/>
    <n v="188"/>
    <x v="1"/>
    <n v="29"/>
    <x v="3"/>
    <s v="Medical"/>
    <n v="1"/>
    <n v="1148"/>
    <n v="2"/>
    <x v="1"/>
    <n v="56"/>
    <n v="1"/>
    <n v="2"/>
    <x v="2"/>
    <n v="4"/>
    <x v="0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  <x v="1"/>
    <x v="2"/>
    <x v="1"/>
  </r>
  <r>
    <x v="11"/>
    <x v="1"/>
    <s v="Travel_Rarely"/>
    <n v="718"/>
    <x v="1"/>
    <n v="8"/>
    <x v="1"/>
    <s v="Medical"/>
    <n v="1"/>
    <n v="1150"/>
    <n v="2"/>
    <x v="1"/>
    <n v="79"/>
    <n v="2"/>
    <n v="2"/>
    <x v="3"/>
    <n v="4"/>
    <x v="1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  <x v="1"/>
    <x v="2"/>
    <x v="1"/>
  </r>
  <r>
    <x v="8"/>
    <x v="1"/>
    <s v="Travel_Rarely"/>
    <n v="433"/>
    <x v="2"/>
    <n v="1"/>
    <x v="3"/>
    <s v="Human Resources"/>
    <n v="1"/>
    <n v="1152"/>
    <n v="3"/>
    <x v="1"/>
    <n v="37"/>
    <n v="4"/>
    <n v="1"/>
    <x v="8"/>
    <n v="3"/>
    <x v="1"/>
    <n v="2844"/>
    <n v="6004"/>
    <n v="1"/>
    <s v="Y"/>
    <s v="No"/>
    <n v="13"/>
    <n v="3"/>
    <n v="4"/>
    <n v="80"/>
    <n v="1"/>
    <n v="7"/>
    <n v="2"/>
    <n v="4"/>
    <n v="7"/>
    <n v="6"/>
    <n v="5"/>
    <n v="0"/>
    <m/>
    <x v="1"/>
    <x v="5"/>
    <x v="2"/>
  </r>
  <r>
    <x v="14"/>
    <x v="1"/>
    <s v="Travel_Frequently"/>
    <n v="773"/>
    <x v="1"/>
    <n v="6"/>
    <x v="3"/>
    <s v="Life Sciences"/>
    <n v="1"/>
    <n v="1154"/>
    <n v="3"/>
    <x v="1"/>
    <n v="39"/>
    <n v="2"/>
    <n v="1"/>
    <x v="1"/>
    <n v="3"/>
    <x v="2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  <x v="1"/>
    <x v="0"/>
    <x v="1"/>
  </r>
  <r>
    <x v="41"/>
    <x v="0"/>
    <s v="Non-Travel"/>
    <n v="247"/>
    <x v="1"/>
    <n v="8"/>
    <x v="1"/>
    <s v="Medical"/>
    <n v="1"/>
    <n v="1156"/>
    <n v="3"/>
    <x v="1"/>
    <n v="80"/>
    <n v="3"/>
    <n v="1"/>
    <x v="2"/>
    <n v="3"/>
    <x v="0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  <x v="1"/>
    <x v="2"/>
    <x v="1"/>
  </r>
  <r>
    <x v="3"/>
    <x v="0"/>
    <s v="Travel_Rarely"/>
    <n v="603"/>
    <x v="0"/>
    <n v="9"/>
    <x v="2"/>
    <s v="Marketing"/>
    <n v="1"/>
    <n v="1157"/>
    <n v="1"/>
    <x v="0"/>
    <n v="77"/>
    <n v="3"/>
    <n v="2"/>
    <x v="0"/>
    <n v="1"/>
    <x v="0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  <x v="0"/>
    <x v="3"/>
    <x v="0"/>
  </r>
  <r>
    <x v="0"/>
    <x v="1"/>
    <s v="Travel_Rarely"/>
    <n v="167"/>
    <x v="1"/>
    <n v="12"/>
    <x v="2"/>
    <s v="Life Sciences"/>
    <n v="1"/>
    <n v="1158"/>
    <n v="2"/>
    <x v="1"/>
    <n v="46"/>
    <n v="3"/>
    <n v="1"/>
    <x v="2"/>
    <n v="4"/>
    <x v="1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  <x v="1"/>
    <x v="0"/>
    <x v="1"/>
  </r>
  <r>
    <x v="12"/>
    <x v="0"/>
    <s v="Travel_Frequently"/>
    <n v="874"/>
    <x v="1"/>
    <n v="15"/>
    <x v="3"/>
    <s v="Medical"/>
    <n v="1"/>
    <n v="1160"/>
    <n v="3"/>
    <x v="1"/>
    <n v="72"/>
    <n v="3"/>
    <n v="1"/>
    <x v="2"/>
    <n v="3"/>
    <x v="1"/>
    <n v="2610"/>
    <n v="6233"/>
    <n v="1"/>
    <s v="Y"/>
    <s v="No"/>
    <n v="12"/>
    <n v="3"/>
    <n v="3"/>
    <n v="80"/>
    <n v="1"/>
    <n v="2"/>
    <n v="5"/>
    <n v="2"/>
    <n v="2"/>
    <n v="2"/>
    <n v="2"/>
    <n v="2"/>
    <m/>
    <x v="1"/>
    <x v="2"/>
    <x v="1"/>
  </r>
  <r>
    <x v="2"/>
    <x v="1"/>
    <s v="Travel_Rarely"/>
    <n v="367"/>
    <x v="1"/>
    <n v="25"/>
    <x v="0"/>
    <s v="Medical"/>
    <n v="1"/>
    <n v="1161"/>
    <n v="3"/>
    <x v="0"/>
    <n v="52"/>
    <n v="2"/>
    <n v="2"/>
    <x v="4"/>
    <n v="4"/>
    <x v="2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  <x v="0"/>
    <x v="2"/>
    <x v="1"/>
  </r>
  <r>
    <x v="4"/>
    <x v="1"/>
    <s v="Travel_Rarely"/>
    <n v="199"/>
    <x v="1"/>
    <n v="6"/>
    <x v="3"/>
    <s v="Life Sciences"/>
    <n v="1"/>
    <n v="1162"/>
    <n v="4"/>
    <x v="1"/>
    <n v="55"/>
    <n v="2"/>
    <n v="1"/>
    <x v="1"/>
    <n v="3"/>
    <x v="1"/>
    <n v="2539"/>
    <n v="7950"/>
    <n v="1"/>
    <s v="Y"/>
    <s v="No"/>
    <n v="13"/>
    <n v="3"/>
    <n v="3"/>
    <n v="80"/>
    <n v="1"/>
    <n v="4"/>
    <n v="0"/>
    <n v="3"/>
    <n v="4"/>
    <n v="2"/>
    <n v="2"/>
    <n v="2"/>
    <m/>
    <x v="1"/>
    <x v="0"/>
    <x v="1"/>
  </r>
  <r>
    <x v="13"/>
    <x v="1"/>
    <s v="Travel_Rarely"/>
    <n v="1400"/>
    <x v="0"/>
    <n v="9"/>
    <x v="1"/>
    <s v="Life Sciences"/>
    <n v="1"/>
    <n v="1163"/>
    <n v="2"/>
    <x v="0"/>
    <n v="70"/>
    <n v="3"/>
    <n v="2"/>
    <x v="0"/>
    <n v="3"/>
    <x v="1"/>
    <n v="5714"/>
    <n v="5829"/>
    <n v="1"/>
    <s v="Y"/>
    <s v="No"/>
    <n v="20"/>
    <n v="4"/>
    <n v="1"/>
    <n v="80"/>
    <n v="0"/>
    <n v="6"/>
    <n v="3"/>
    <n v="2"/>
    <n v="6"/>
    <n v="5"/>
    <n v="1"/>
    <n v="3"/>
    <m/>
    <x v="0"/>
    <x v="0"/>
    <x v="0"/>
  </r>
  <r>
    <x v="10"/>
    <x v="1"/>
    <s v="Travel_Rarely"/>
    <n v="528"/>
    <x v="2"/>
    <n v="8"/>
    <x v="2"/>
    <s v="Technical Degree"/>
    <n v="1"/>
    <n v="1164"/>
    <n v="3"/>
    <x v="1"/>
    <n v="100"/>
    <n v="3"/>
    <n v="1"/>
    <x v="8"/>
    <n v="3"/>
    <x v="0"/>
    <n v="4323"/>
    <n v="7108"/>
    <n v="1"/>
    <s v="Y"/>
    <s v="No"/>
    <n v="17"/>
    <n v="3"/>
    <n v="2"/>
    <n v="80"/>
    <n v="0"/>
    <n v="6"/>
    <n v="2"/>
    <n v="1"/>
    <n v="5"/>
    <n v="4"/>
    <n v="1"/>
    <n v="4"/>
    <m/>
    <x v="1"/>
    <x v="4"/>
    <x v="2"/>
  </r>
  <r>
    <x v="11"/>
    <x v="0"/>
    <s v="Travel_Rarely"/>
    <n v="408"/>
    <x v="0"/>
    <n v="23"/>
    <x v="1"/>
    <s v="Life Sciences"/>
    <n v="1"/>
    <n v="1165"/>
    <n v="4"/>
    <x v="0"/>
    <n v="45"/>
    <n v="2"/>
    <n v="3"/>
    <x v="0"/>
    <n v="1"/>
    <x v="1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  <x v="0"/>
    <x v="0"/>
    <x v="0"/>
  </r>
  <r>
    <x v="32"/>
    <x v="1"/>
    <s v="Travel_Frequently"/>
    <n v="593"/>
    <x v="1"/>
    <n v="9"/>
    <x v="2"/>
    <s v="Medical"/>
    <n v="1"/>
    <n v="1166"/>
    <n v="2"/>
    <x v="0"/>
    <n v="88"/>
    <n v="3"/>
    <n v="3"/>
    <x v="7"/>
    <n v="3"/>
    <x v="0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  <x v="0"/>
    <x v="2"/>
    <x v="1"/>
  </r>
  <r>
    <x v="19"/>
    <x v="0"/>
    <s v="Travel_Frequently"/>
    <n v="481"/>
    <x v="0"/>
    <n v="12"/>
    <x v="3"/>
    <s v="Life Sciences"/>
    <n v="1"/>
    <n v="1167"/>
    <n v="3"/>
    <x v="1"/>
    <n v="44"/>
    <n v="3"/>
    <n v="4"/>
    <x v="0"/>
    <n v="1"/>
    <x v="0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  <x v="1"/>
    <x v="0"/>
    <x v="0"/>
  </r>
  <r>
    <x v="19"/>
    <x v="1"/>
    <s v="Travel_Rarely"/>
    <n v="647"/>
    <x v="0"/>
    <n v="4"/>
    <x v="2"/>
    <s v="Marketing"/>
    <n v="1"/>
    <n v="1171"/>
    <n v="2"/>
    <x v="1"/>
    <n v="45"/>
    <n v="3"/>
    <n v="2"/>
    <x v="0"/>
    <n v="1"/>
    <x v="0"/>
    <n v="5155"/>
    <n v="2253"/>
    <n v="7"/>
    <s v="Y"/>
    <s v="No"/>
    <n v="13"/>
    <n v="3"/>
    <n v="4"/>
    <n v="80"/>
    <n v="0"/>
    <n v="9"/>
    <n v="3"/>
    <n v="4"/>
    <n v="6"/>
    <n v="4"/>
    <n v="1"/>
    <n v="5"/>
    <m/>
    <x v="1"/>
    <x v="3"/>
    <x v="0"/>
  </r>
  <r>
    <x v="10"/>
    <x v="1"/>
    <s v="Travel_Rarely"/>
    <n v="982"/>
    <x v="1"/>
    <n v="1"/>
    <x v="2"/>
    <s v="Medical"/>
    <n v="1"/>
    <n v="1172"/>
    <n v="4"/>
    <x v="1"/>
    <n v="58"/>
    <n v="2"/>
    <n v="1"/>
    <x v="2"/>
    <n v="3"/>
    <x v="1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  <x v="1"/>
    <x v="2"/>
    <x v="1"/>
  </r>
  <r>
    <x v="17"/>
    <x v="1"/>
    <s v="Travel_Rarely"/>
    <n v="477"/>
    <x v="1"/>
    <n v="24"/>
    <x v="3"/>
    <s v="Medical"/>
    <n v="1"/>
    <n v="1173"/>
    <n v="4"/>
    <x v="1"/>
    <n v="49"/>
    <n v="3"/>
    <n v="1"/>
    <x v="2"/>
    <n v="2"/>
    <x v="0"/>
    <n v="3597"/>
    <n v="6409"/>
    <n v="8"/>
    <s v="Y"/>
    <s v="No"/>
    <n v="22"/>
    <n v="4"/>
    <n v="4"/>
    <n v="80"/>
    <n v="0"/>
    <n v="6"/>
    <n v="2"/>
    <n v="3"/>
    <n v="4"/>
    <n v="3"/>
    <n v="1"/>
    <n v="2"/>
    <m/>
    <x v="1"/>
    <x v="2"/>
    <x v="1"/>
  </r>
  <r>
    <x v="14"/>
    <x v="0"/>
    <s v="Travel_Rarely"/>
    <n v="1485"/>
    <x v="1"/>
    <n v="12"/>
    <x v="1"/>
    <s v="Life Sciences"/>
    <n v="1"/>
    <n v="1175"/>
    <n v="3"/>
    <x v="0"/>
    <n v="79"/>
    <n v="3"/>
    <n v="1"/>
    <x v="2"/>
    <n v="4"/>
    <x v="1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  <x v="0"/>
    <x v="0"/>
    <x v="1"/>
  </r>
  <r>
    <x v="25"/>
    <x v="1"/>
    <s v="Travel_Rarely"/>
    <n v="1384"/>
    <x v="1"/>
    <n v="3"/>
    <x v="2"/>
    <s v="Medical"/>
    <n v="1"/>
    <n v="1177"/>
    <n v="1"/>
    <x v="1"/>
    <n v="82"/>
    <n v="4"/>
    <n v="1"/>
    <x v="2"/>
    <n v="4"/>
    <x v="1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  <x v="1"/>
    <x v="2"/>
    <x v="1"/>
  </r>
  <r>
    <x v="7"/>
    <x v="1"/>
    <s v="Travel_Rarely"/>
    <n v="852"/>
    <x v="0"/>
    <n v="10"/>
    <x v="3"/>
    <s v="Marketing"/>
    <n v="1"/>
    <n v="1179"/>
    <n v="3"/>
    <x v="1"/>
    <n v="72"/>
    <n v="2"/>
    <n v="2"/>
    <x v="0"/>
    <n v="3"/>
    <x v="1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  <x v="1"/>
    <x v="3"/>
    <x v="0"/>
  </r>
  <r>
    <x v="32"/>
    <x v="1"/>
    <s v="Travel_Frequently"/>
    <n v="902"/>
    <x v="1"/>
    <n v="26"/>
    <x v="0"/>
    <s v="Medical"/>
    <n v="1"/>
    <n v="1180"/>
    <n v="3"/>
    <x v="0"/>
    <n v="92"/>
    <n v="2"/>
    <n v="2"/>
    <x v="1"/>
    <n v="4"/>
    <x v="1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  <x v="0"/>
    <x v="2"/>
    <x v="1"/>
  </r>
  <r>
    <x v="10"/>
    <x v="1"/>
    <s v="Travel_Rarely"/>
    <n v="819"/>
    <x v="1"/>
    <n v="2"/>
    <x v="3"/>
    <s v="Life Sciences"/>
    <n v="1"/>
    <n v="1182"/>
    <n v="3"/>
    <x v="1"/>
    <n v="44"/>
    <n v="2"/>
    <n v="3"/>
    <x v="3"/>
    <n v="2"/>
    <x v="2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  <x v="1"/>
    <x v="0"/>
    <x v="1"/>
  </r>
  <r>
    <x v="13"/>
    <x v="1"/>
    <s v="Travel_Frequently"/>
    <n v="669"/>
    <x v="1"/>
    <n v="1"/>
    <x v="3"/>
    <s v="Medical"/>
    <n v="1"/>
    <n v="1184"/>
    <n v="4"/>
    <x v="1"/>
    <n v="97"/>
    <n v="2"/>
    <n v="2"/>
    <x v="4"/>
    <n v="1"/>
    <x v="0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  <x v="1"/>
    <x v="2"/>
    <x v="1"/>
  </r>
  <r>
    <x v="10"/>
    <x v="1"/>
    <s v="Travel_Frequently"/>
    <n v="636"/>
    <x v="1"/>
    <n v="4"/>
    <x v="2"/>
    <s v="Other"/>
    <n v="1"/>
    <n v="1185"/>
    <n v="4"/>
    <x v="1"/>
    <n v="47"/>
    <n v="2"/>
    <n v="1"/>
    <x v="2"/>
    <n v="4"/>
    <x v="1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  <x v="1"/>
    <x v="1"/>
    <x v="1"/>
  </r>
  <r>
    <x v="23"/>
    <x v="0"/>
    <s v="Travel_Rarely"/>
    <n v="1372"/>
    <x v="0"/>
    <n v="9"/>
    <x v="3"/>
    <s v="Marketing"/>
    <n v="1"/>
    <n v="1188"/>
    <n v="1"/>
    <x v="0"/>
    <n v="85"/>
    <n v="1"/>
    <n v="2"/>
    <x v="0"/>
    <n v="3"/>
    <x v="0"/>
    <n v="5346"/>
    <n v="9489"/>
    <n v="8"/>
    <s v="Y"/>
    <s v="No"/>
    <n v="13"/>
    <n v="3"/>
    <n v="2"/>
    <n v="80"/>
    <n v="0"/>
    <n v="7"/>
    <n v="2"/>
    <n v="2"/>
    <n v="4"/>
    <n v="3"/>
    <n v="1"/>
    <n v="3"/>
    <m/>
    <x v="0"/>
    <x v="3"/>
    <x v="0"/>
  </r>
  <r>
    <x v="5"/>
    <x v="1"/>
    <s v="Non-Travel"/>
    <n v="862"/>
    <x v="0"/>
    <n v="2"/>
    <x v="1"/>
    <s v="Life Sciences"/>
    <n v="1"/>
    <n v="1190"/>
    <n v="3"/>
    <x v="0"/>
    <n v="76"/>
    <n v="3"/>
    <n v="1"/>
    <x v="6"/>
    <n v="1"/>
    <x v="2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  <x v="0"/>
    <x v="0"/>
    <x v="0"/>
  </r>
  <r>
    <x v="29"/>
    <x v="1"/>
    <s v="Travel_Rarely"/>
    <n v="718"/>
    <x v="1"/>
    <n v="4"/>
    <x v="2"/>
    <s v="Technical Degree"/>
    <n v="1"/>
    <n v="1191"/>
    <n v="4"/>
    <x v="0"/>
    <n v="92"/>
    <n v="3"/>
    <n v="5"/>
    <x v="5"/>
    <n v="1"/>
    <x v="2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  <x v="0"/>
    <x v="4"/>
    <x v="1"/>
  </r>
  <r>
    <x v="11"/>
    <x v="1"/>
    <s v="Travel_Rarely"/>
    <n v="1401"/>
    <x v="1"/>
    <n v="6"/>
    <x v="1"/>
    <s v="Medical"/>
    <n v="1"/>
    <n v="1192"/>
    <n v="2"/>
    <x v="0"/>
    <n v="54"/>
    <n v="3"/>
    <n v="1"/>
    <x v="2"/>
    <n v="4"/>
    <x v="1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  <x v="0"/>
    <x v="2"/>
    <x v="1"/>
  </r>
  <r>
    <x v="37"/>
    <x v="1"/>
    <s v="Travel_Rarely"/>
    <n v="645"/>
    <x v="1"/>
    <n v="9"/>
    <x v="0"/>
    <s v="Life Sciences"/>
    <n v="1"/>
    <n v="1193"/>
    <n v="3"/>
    <x v="1"/>
    <n v="54"/>
    <n v="3"/>
    <n v="1"/>
    <x v="1"/>
    <n v="1"/>
    <x v="0"/>
    <n v="2552"/>
    <n v="7172"/>
    <n v="1"/>
    <s v="Y"/>
    <s v="No"/>
    <n v="25"/>
    <n v="4"/>
    <n v="3"/>
    <n v="80"/>
    <n v="0"/>
    <n v="1"/>
    <n v="4"/>
    <n v="3"/>
    <n v="1"/>
    <n v="1"/>
    <n v="0"/>
    <n v="0"/>
    <m/>
    <x v="1"/>
    <x v="0"/>
    <x v="1"/>
  </r>
  <r>
    <x v="28"/>
    <x v="1"/>
    <s v="Travel_Rarely"/>
    <n v="1457"/>
    <x v="1"/>
    <n v="7"/>
    <x v="3"/>
    <s v="Medical"/>
    <n v="1"/>
    <n v="1195"/>
    <n v="1"/>
    <x v="0"/>
    <n v="83"/>
    <n v="3"/>
    <n v="1"/>
    <x v="1"/>
    <n v="3"/>
    <x v="1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  <x v="0"/>
    <x v="2"/>
    <x v="1"/>
  </r>
  <r>
    <x v="2"/>
    <x v="1"/>
    <s v="Travel_Rarely"/>
    <n v="977"/>
    <x v="1"/>
    <n v="1"/>
    <x v="3"/>
    <s v="Life Sciences"/>
    <n v="1"/>
    <n v="1196"/>
    <n v="4"/>
    <x v="0"/>
    <n v="56"/>
    <n v="2"/>
    <n v="2"/>
    <x v="3"/>
    <n v="4"/>
    <x v="1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  <x v="0"/>
    <x v="0"/>
    <x v="1"/>
  </r>
  <r>
    <x v="35"/>
    <x v="1"/>
    <s v="Travel_Rarely"/>
    <n v="805"/>
    <x v="1"/>
    <n v="3"/>
    <x v="3"/>
    <s v="Life Sciences"/>
    <n v="1"/>
    <n v="1198"/>
    <n v="1"/>
    <x v="1"/>
    <n v="87"/>
    <n v="2"/>
    <n v="1"/>
    <x v="2"/>
    <n v="3"/>
    <x v="0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  <x v="1"/>
    <x v="0"/>
    <x v="1"/>
  </r>
  <r>
    <x v="20"/>
    <x v="0"/>
    <s v="Travel_Rarely"/>
    <n v="1097"/>
    <x v="1"/>
    <n v="10"/>
    <x v="2"/>
    <s v="Life Sciences"/>
    <n v="1"/>
    <n v="1200"/>
    <n v="3"/>
    <x v="1"/>
    <n v="96"/>
    <n v="3"/>
    <n v="1"/>
    <x v="1"/>
    <n v="3"/>
    <x v="0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  <x v="1"/>
    <x v="0"/>
    <x v="1"/>
  </r>
  <r>
    <x v="16"/>
    <x v="1"/>
    <s v="Travel_Rarely"/>
    <n v="1223"/>
    <x v="1"/>
    <n v="7"/>
    <x v="0"/>
    <s v="Medical"/>
    <n v="1"/>
    <n v="1201"/>
    <n v="4"/>
    <x v="0"/>
    <n v="50"/>
    <n v="3"/>
    <n v="5"/>
    <x v="5"/>
    <n v="3"/>
    <x v="2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  <x v="0"/>
    <x v="2"/>
    <x v="1"/>
  </r>
  <r>
    <x v="11"/>
    <x v="1"/>
    <s v="Travel_Rarely"/>
    <n v="942"/>
    <x v="1"/>
    <n v="15"/>
    <x v="1"/>
    <s v="Life Sciences"/>
    <n v="1"/>
    <n v="1202"/>
    <n v="2"/>
    <x v="0"/>
    <n v="69"/>
    <n v="1"/>
    <n v="1"/>
    <x v="1"/>
    <n v="4"/>
    <x v="1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  <x v="0"/>
    <x v="0"/>
    <x v="1"/>
  </r>
  <r>
    <x v="15"/>
    <x v="0"/>
    <s v="Travel_Frequently"/>
    <n v="1256"/>
    <x v="1"/>
    <n v="3"/>
    <x v="2"/>
    <s v="Life Sciences"/>
    <n v="1"/>
    <n v="1203"/>
    <n v="3"/>
    <x v="1"/>
    <n v="48"/>
    <n v="2"/>
    <n v="1"/>
    <x v="1"/>
    <n v="4"/>
    <x v="1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  <x v="1"/>
    <x v="0"/>
    <x v="1"/>
  </r>
  <r>
    <x v="21"/>
    <x v="1"/>
    <s v="Travel_Rarely"/>
    <n v="1402"/>
    <x v="0"/>
    <n v="2"/>
    <x v="3"/>
    <s v="Marketing"/>
    <n v="1"/>
    <n v="1204"/>
    <n v="3"/>
    <x v="0"/>
    <n v="69"/>
    <n v="3"/>
    <n v="4"/>
    <x v="5"/>
    <n v="1"/>
    <x v="1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  <x v="0"/>
    <x v="3"/>
    <x v="0"/>
  </r>
  <r>
    <x v="20"/>
    <x v="1"/>
    <s v="Non-Travel"/>
    <n v="111"/>
    <x v="1"/>
    <n v="17"/>
    <x v="3"/>
    <s v="Life Sciences"/>
    <n v="1"/>
    <n v="1206"/>
    <n v="4"/>
    <x v="1"/>
    <n v="74"/>
    <n v="1"/>
    <n v="1"/>
    <x v="1"/>
    <n v="3"/>
    <x v="0"/>
    <n v="2290"/>
    <n v="4279"/>
    <n v="2"/>
    <s v="Y"/>
    <s v="No"/>
    <n v="13"/>
    <n v="3"/>
    <n v="4"/>
    <n v="80"/>
    <n v="0"/>
    <n v="6"/>
    <n v="3"/>
    <n v="3"/>
    <n v="0"/>
    <n v="0"/>
    <n v="0"/>
    <n v="0"/>
    <m/>
    <x v="1"/>
    <x v="0"/>
    <x v="1"/>
  </r>
  <r>
    <x v="3"/>
    <x v="1"/>
    <s v="Travel_Rarely"/>
    <n v="147"/>
    <x v="2"/>
    <n v="2"/>
    <x v="3"/>
    <s v="Human Resources"/>
    <n v="1"/>
    <n v="1207"/>
    <n v="2"/>
    <x v="1"/>
    <n v="99"/>
    <n v="3"/>
    <n v="1"/>
    <x v="8"/>
    <n v="3"/>
    <x v="1"/>
    <n v="3600"/>
    <n v="8429"/>
    <n v="1"/>
    <s v="Y"/>
    <s v="No"/>
    <n v="13"/>
    <n v="3"/>
    <n v="4"/>
    <n v="80"/>
    <n v="1"/>
    <n v="5"/>
    <n v="2"/>
    <n v="3"/>
    <n v="5"/>
    <n v="4"/>
    <n v="1"/>
    <n v="4"/>
    <m/>
    <x v="1"/>
    <x v="5"/>
    <x v="2"/>
  </r>
  <r>
    <x v="0"/>
    <x v="0"/>
    <s v="Non-Travel"/>
    <n v="906"/>
    <x v="1"/>
    <n v="5"/>
    <x v="0"/>
    <s v="Life Sciences"/>
    <n v="1"/>
    <n v="1210"/>
    <n v="1"/>
    <x v="1"/>
    <n v="95"/>
    <n v="2"/>
    <n v="1"/>
    <x v="1"/>
    <n v="1"/>
    <x v="2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  <x v="1"/>
    <x v="0"/>
    <x v="1"/>
  </r>
  <r>
    <x v="7"/>
    <x v="1"/>
    <s v="Travel_Rarely"/>
    <n v="1329"/>
    <x v="0"/>
    <n v="29"/>
    <x v="2"/>
    <s v="Life Sciences"/>
    <n v="1"/>
    <n v="1211"/>
    <n v="3"/>
    <x v="1"/>
    <n v="61"/>
    <n v="3"/>
    <n v="2"/>
    <x v="0"/>
    <n v="1"/>
    <x v="2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  <x v="1"/>
    <x v="0"/>
    <x v="0"/>
  </r>
  <r>
    <x v="32"/>
    <x v="1"/>
    <s v="Travel_Frequently"/>
    <n v="1184"/>
    <x v="0"/>
    <n v="2"/>
    <x v="2"/>
    <s v="Medical"/>
    <n v="1"/>
    <n v="1212"/>
    <n v="2"/>
    <x v="1"/>
    <n v="62"/>
    <n v="3"/>
    <n v="2"/>
    <x v="0"/>
    <n v="2"/>
    <x v="1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  <x v="1"/>
    <x v="2"/>
    <x v="0"/>
  </r>
  <r>
    <x v="24"/>
    <x v="1"/>
    <s v="Travel_Frequently"/>
    <n v="1421"/>
    <x v="1"/>
    <n v="2"/>
    <x v="3"/>
    <s v="Medical"/>
    <n v="1"/>
    <n v="1215"/>
    <n v="4"/>
    <x v="0"/>
    <n v="30"/>
    <n v="3"/>
    <n v="4"/>
    <x v="5"/>
    <n v="1"/>
    <x v="1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  <x v="0"/>
    <x v="2"/>
    <x v="1"/>
  </r>
  <r>
    <x v="14"/>
    <x v="1"/>
    <s v="Travel_Rarely"/>
    <n v="1179"/>
    <x v="1"/>
    <n v="19"/>
    <x v="2"/>
    <s v="Medical"/>
    <n v="1"/>
    <n v="1216"/>
    <n v="4"/>
    <x v="1"/>
    <n v="78"/>
    <n v="2"/>
    <n v="1"/>
    <x v="2"/>
    <n v="1"/>
    <x v="1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  <x v="1"/>
    <x v="2"/>
    <x v="1"/>
  </r>
  <r>
    <x v="21"/>
    <x v="1"/>
    <s v="Travel_Rarely"/>
    <n v="1450"/>
    <x v="1"/>
    <n v="15"/>
    <x v="0"/>
    <s v="Life Sciences"/>
    <n v="1"/>
    <n v="1217"/>
    <n v="4"/>
    <x v="1"/>
    <n v="52"/>
    <n v="3"/>
    <n v="5"/>
    <x v="7"/>
    <n v="2"/>
    <x v="1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  <x v="1"/>
    <x v="0"/>
    <x v="1"/>
  </r>
  <r>
    <x v="10"/>
    <x v="1"/>
    <s v="Travel_Rarely"/>
    <n v="1361"/>
    <x v="0"/>
    <n v="17"/>
    <x v="2"/>
    <s v="Life Sciences"/>
    <n v="1"/>
    <n v="1218"/>
    <n v="3"/>
    <x v="1"/>
    <n v="94"/>
    <n v="3"/>
    <n v="2"/>
    <x v="0"/>
    <n v="1"/>
    <x v="1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  <x v="1"/>
    <x v="0"/>
    <x v="0"/>
  </r>
  <r>
    <x v="17"/>
    <x v="0"/>
    <s v="Travel_Rarely"/>
    <n v="984"/>
    <x v="1"/>
    <n v="17"/>
    <x v="0"/>
    <s v="Life Sciences"/>
    <n v="1"/>
    <n v="1219"/>
    <n v="4"/>
    <x v="0"/>
    <n v="97"/>
    <n v="3"/>
    <n v="1"/>
    <x v="2"/>
    <n v="2"/>
    <x v="1"/>
    <n v="2210"/>
    <n v="3372"/>
    <n v="1"/>
    <s v="Y"/>
    <s v="No"/>
    <n v="13"/>
    <n v="3"/>
    <n v="1"/>
    <n v="80"/>
    <n v="1"/>
    <n v="1"/>
    <n v="3"/>
    <n v="1"/>
    <n v="1"/>
    <n v="0"/>
    <n v="0"/>
    <n v="0"/>
    <m/>
    <x v="0"/>
    <x v="0"/>
    <x v="1"/>
  </r>
  <r>
    <x v="3"/>
    <x v="1"/>
    <s v="Travel_Frequently"/>
    <n v="1146"/>
    <x v="0"/>
    <n v="25"/>
    <x v="3"/>
    <s v="Medical"/>
    <n v="1"/>
    <n v="1220"/>
    <n v="2"/>
    <x v="0"/>
    <n v="82"/>
    <n v="3"/>
    <n v="2"/>
    <x v="0"/>
    <n v="3"/>
    <x v="1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  <x v="0"/>
    <x v="2"/>
    <x v="0"/>
  </r>
  <r>
    <x v="9"/>
    <x v="1"/>
    <s v="Travel_Rarely"/>
    <n v="917"/>
    <x v="1"/>
    <n v="6"/>
    <x v="2"/>
    <s v="Life Sciences"/>
    <n v="1"/>
    <n v="1221"/>
    <n v="3"/>
    <x v="1"/>
    <n v="60"/>
    <n v="1"/>
    <n v="1"/>
    <x v="2"/>
    <n v="3"/>
    <x v="2"/>
    <n v="2741"/>
    <n v="6865"/>
    <n v="1"/>
    <s v="Y"/>
    <s v="No"/>
    <n v="14"/>
    <n v="3"/>
    <n v="3"/>
    <n v="80"/>
    <n v="1"/>
    <n v="7"/>
    <n v="4"/>
    <n v="3"/>
    <n v="7"/>
    <n v="7"/>
    <n v="1"/>
    <n v="7"/>
    <m/>
    <x v="1"/>
    <x v="0"/>
    <x v="1"/>
  </r>
  <r>
    <x v="7"/>
    <x v="1"/>
    <s v="Travel_Rarely"/>
    <n v="853"/>
    <x v="1"/>
    <n v="7"/>
    <x v="2"/>
    <s v="Life Sciences"/>
    <n v="1"/>
    <n v="1224"/>
    <n v="3"/>
    <x v="1"/>
    <n v="49"/>
    <n v="3"/>
    <n v="2"/>
    <x v="2"/>
    <n v="3"/>
    <x v="2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  <x v="1"/>
    <x v="0"/>
    <x v="1"/>
  </r>
  <r>
    <x v="20"/>
    <x v="1"/>
    <s v="Travel_Rarely"/>
    <n v="200"/>
    <x v="1"/>
    <n v="29"/>
    <x v="2"/>
    <s v="Other"/>
    <n v="1"/>
    <n v="1225"/>
    <n v="4"/>
    <x v="1"/>
    <n v="32"/>
    <n v="3"/>
    <n v="2"/>
    <x v="1"/>
    <n v="4"/>
    <x v="0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  <x v="1"/>
    <x v="1"/>
    <x v="1"/>
  </r>
  <r>
    <x v="35"/>
    <x v="1"/>
    <s v="Travel_Rarely"/>
    <n v="654"/>
    <x v="0"/>
    <n v="21"/>
    <x v="3"/>
    <s v="Marketing"/>
    <n v="1"/>
    <n v="1226"/>
    <n v="3"/>
    <x v="1"/>
    <n v="43"/>
    <n v="4"/>
    <n v="1"/>
    <x v="6"/>
    <n v="4"/>
    <x v="0"/>
    <n v="2678"/>
    <n v="5050"/>
    <n v="1"/>
    <s v="Y"/>
    <s v="No"/>
    <n v="17"/>
    <n v="3"/>
    <n v="4"/>
    <n v="80"/>
    <n v="0"/>
    <n v="2"/>
    <n v="2"/>
    <n v="3"/>
    <n v="2"/>
    <n v="1"/>
    <n v="2"/>
    <n v="2"/>
    <m/>
    <x v="1"/>
    <x v="3"/>
    <x v="0"/>
  </r>
  <r>
    <x v="21"/>
    <x v="1"/>
    <s v="Travel_Rarely"/>
    <n v="150"/>
    <x v="1"/>
    <n v="2"/>
    <x v="2"/>
    <s v="Technical Degree"/>
    <n v="1"/>
    <n v="1228"/>
    <n v="4"/>
    <x v="1"/>
    <n v="60"/>
    <n v="3"/>
    <n v="2"/>
    <x v="3"/>
    <n v="4"/>
    <x v="2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  <x v="1"/>
    <x v="4"/>
    <x v="1"/>
  </r>
  <r>
    <x v="19"/>
    <x v="1"/>
    <s v="Non-Travel"/>
    <n v="179"/>
    <x v="2"/>
    <n v="2"/>
    <x v="4"/>
    <s v="Medical"/>
    <n v="1"/>
    <n v="1231"/>
    <n v="4"/>
    <x v="1"/>
    <n v="79"/>
    <n v="4"/>
    <n v="2"/>
    <x v="8"/>
    <n v="1"/>
    <x v="1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  <x v="1"/>
    <x v="2"/>
    <x v="2"/>
  </r>
  <r>
    <x v="42"/>
    <x v="1"/>
    <s v="Travel_Rarely"/>
    <n v="696"/>
    <x v="0"/>
    <n v="7"/>
    <x v="2"/>
    <s v="Marketing"/>
    <n v="1"/>
    <n v="1233"/>
    <n v="2"/>
    <x v="1"/>
    <n v="52"/>
    <n v="4"/>
    <n v="2"/>
    <x v="0"/>
    <n v="4"/>
    <x v="2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  <x v="1"/>
    <x v="3"/>
    <x v="0"/>
  </r>
  <r>
    <x v="5"/>
    <x v="1"/>
    <s v="Travel_Frequently"/>
    <n v="116"/>
    <x v="1"/>
    <n v="13"/>
    <x v="3"/>
    <s v="Other"/>
    <n v="1"/>
    <n v="1234"/>
    <n v="3"/>
    <x v="0"/>
    <n v="77"/>
    <n v="2"/>
    <n v="1"/>
    <x v="2"/>
    <n v="2"/>
    <x v="1"/>
    <n v="2743"/>
    <n v="7331"/>
    <n v="1"/>
    <s v="Y"/>
    <s v="No"/>
    <n v="20"/>
    <n v="4"/>
    <n v="3"/>
    <n v="80"/>
    <n v="1"/>
    <n v="2"/>
    <n v="2"/>
    <n v="3"/>
    <n v="2"/>
    <n v="2"/>
    <n v="2"/>
    <n v="2"/>
    <m/>
    <x v="0"/>
    <x v="1"/>
    <x v="1"/>
  </r>
  <r>
    <x v="5"/>
    <x v="1"/>
    <s v="Travel_Frequently"/>
    <n v="1316"/>
    <x v="1"/>
    <n v="2"/>
    <x v="0"/>
    <s v="Life Sciences"/>
    <n v="1"/>
    <n v="1235"/>
    <n v="4"/>
    <x v="0"/>
    <n v="38"/>
    <n v="3"/>
    <n v="2"/>
    <x v="1"/>
    <n v="3"/>
    <x v="0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  <x v="0"/>
    <x v="0"/>
    <x v="1"/>
  </r>
  <r>
    <x v="9"/>
    <x v="1"/>
    <s v="Travel_Rarely"/>
    <n v="363"/>
    <x v="1"/>
    <n v="1"/>
    <x v="3"/>
    <s v="Technical Degree"/>
    <n v="1"/>
    <n v="1237"/>
    <n v="3"/>
    <x v="0"/>
    <n v="77"/>
    <n v="1"/>
    <n v="3"/>
    <x v="3"/>
    <n v="1"/>
    <x v="2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  <x v="0"/>
    <x v="4"/>
    <x v="1"/>
  </r>
  <r>
    <x v="3"/>
    <x v="1"/>
    <s v="Travel_Rarely"/>
    <n v="117"/>
    <x v="1"/>
    <n v="9"/>
    <x v="3"/>
    <s v="Medical"/>
    <n v="1"/>
    <n v="1238"/>
    <n v="1"/>
    <x v="1"/>
    <n v="60"/>
    <n v="3"/>
    <n v="1"/>
    <x v="1"/>
    <n v="4"/>
    <x v="1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  <x v="1"/>
    <x v="2"/>
    <x v="1"/>
  </r>
  <r>
    <x v="32"/>
    <x v="1"/>
    <s v="Travel_Rarely"/>
    <n v="107"/>
    <x v="0"/>
    <n v="10"/>
    <x v="3"/>
    <s v="Technical Degree"/>
    <n v="1"/>
    <n v="1239"/>
    <n v="2"/>
    <x v="0"/>
    <n v="84"/>
    <n v="2"/>
    <n v="2"/>
    <x v="0"/>
    <n v="2"/>
    <x v="2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  <x v="0"/>
    <x v="4"/>
    <x v="0"/>
  </r>
  <r>
    <x v="36"/>
    <x v="1"/>
    <s v="Travel_Rarely"/>
    <n v="1356"/>
    <x v="0"/>
    <n v="10"/>
    <x v="2"/>
    <s v="Life Sciences"/>
    <n v="1"/>
    <n v="1240"/>
    <n v="3"/>
    <x v="1"/>
    <n v="57"/>
    <n v="3"/>
    <n v="2"/>
    <x v="0"/>
    <n v="4"/>
    <x v="0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  <x v="1"/>
    <x v="0"/>
    <x v="0"/>
  </r>
  <r>
    <x v="7"/>
    <x v="1"/>
    <s v="Travel_Rarely"/>
    <n v="1465"/>
    <x v="1"/>
    <n v="1"/>
    <x v="3"/>
    <s v="Medical"/>
    <n v="1"/>
    <n v="1241"/>
    <n v="4"/>
    <x v="1"/>
    <n v="63"/>
    <n v="3"/>
    <n v="1"/>
    <x v="1"/>
    <n v="2"/>
    <x v="1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  <x v="1"/>
    <x v="2"/>
    <x v="1"/>
  </r>
  <r>
    <x v="19"/>
    <x v="1"/>
    <s v="Travel_Frequently"/>
    <n v="458"/>
    <x v="1"/>
    <n v="26"/>
    <x v="4"/>
    <s v="Medical"/>
    <n v="1"/>
    <n v="1242"/>
    <n v="1"/>
    <x v="0"/>
    <n v="60"/>
    <n v="3"/>
    <n v="3"/>
    <x v="7"/>
    <n v="1"/>
    <x v="1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  <x v="0"/>
    <x v="2"/>
    <x v="1"/>
  </r>
  <r>
    <x v="10"/>
    <x v="1"/>
    <s v="Non-Travel"/>
    <n v="1212"/>
    <x v="0"/>
    <n v="8"/>
    <x v="0"/>
    <s v="Marketing"/>
    <n v="1"/>
    <n v="1243"/>
    <n v="3"/>
    <x v="0"/>
    <n v="78"/>
    <n v="2"/>
    <n v="3"/>
    <x v="0"/>
    <n v="4"/>
    <x v="1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  <x v="0"/>
    <x v="3"/>
    <x v="0"/>
  </r>
  <r>
    <x v="4"/>
    <x v="1"/>
    <s v="Travel_Rarely"/>
    <n v="1103"/>
    <x v="1"/>
    <n v="14"/>
    <x v="3"/>
    <s v="Life Sciences"/>
    <n v="1"/>
    <n v="1244"/>
    <n v="1"/>
    <x v="1"/>
    <n v="42"/>
    <n v="3"/>
    <n v="1"/>
    <x v="1"/>
    <n v="1"/>
    <x v="1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  <x v="1"/>
    <x v="0"/>
    <x v="1"/>
  </r>
  <r>
    <x v="33"/>
    <x v="1"/>
    <s v="Travel_Frequently"/>
    <n v="966"/>
    <x v="1"/>
    <n v="1"/>
    <x v="2"/>
    <s v="Life Sciences"/>
    <n v="1"/>
    <n v="1245"/>
    <n v="4"/>
    <x v="0"/>
    <n v="53"/>
    <n v="3"/>
    <n v="3"/>
    <x v="3"/>
    <n v="3"/>
    <x v="2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  <x v="0"/>
    <x v="0"/>
    <x v="1"/>
  </r>
  <r>
    <x v="20"/>
    <x v="1"/>
    <s v="Travel_Rarely"/>
    <n v="1117"/>
    <x v="1"/>
    <n v="2"/>
    <x v="1"/>
    <s v="Life Sciences"/>
    <n v="1"/>
    <n v="1246"/>
    <n v="1"/>
    <x v="0"/>
    <n v="72"/>
    <n v="4"/>
    <n v="1"/>
    <x v="1"/>
    <n v="4"/>
    <x v="1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  <x v="0"/>
    <x v="0"/>
    <x v="1"/>
  </r>
  <r>
    <x v="37"/>
    <x v="0"/>
    <s v="Non-Travel"/>
    <n v="504"/>
    <x v="1"/>
    <n v="10"/>
    <x v="3"/>
    <s v="Medical"/>
    <n v="1"/>
    <n v="1248"/>
    <n v="1"/>
    <x v="0"/>
    <n v="96"/>
    <n v="2"/>
    <n v="1"/>
    <x v="1"/>
    <n v="2"/>
    <x v="0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  <x v="0"/>
    <x v="2"/>
    <x v="1"/>
  </r>
  <r>
    <x v="11"/>
    <x v="1"/>
    <s v="Travel_Rarely"/>
    <n v="1010"/>
    <x v="1"/>
    <n v="1"/>
    <x v="3"/>
    <s v="Life Sciences"/>
    <n v="1"/>
    <n v="1249"/>
    <n v="1"/>
    <x v="0"/>
    <n v="97"/>
    <n v="3"/>
    <n v="1"/>
    <x v="1"/>
    <n v="4"/>
    <x v="2"/>
    <n v="3760"/>
    <n v="5598"/>
    <n v="1"/>
    <s v="Y"/>
    <s v="No"/>
    <n v="15"/>
    <n v="3"/>
    <n v="1"/>
    <n v="80"/>
    <n v="3"/>
    <n v="3"/>
    <n v="5"/>
    <n v="3"/>
    <n v="3"/>
    <n v="2"/>
    <n v="1"/>
    <n v="2"/>
    <m/>
    <x v="0"/>
    <x v="0"/>
    <x v="1"/>
  </r>
  <r>
    <x v="33"/>
    <x v="1"/>
    <s v="Travel_Rarely"/>
    <n v="685"/>
    <x v="1"/>
    <n v="3"/>
    <x v="3"/>
    <s v="Life Sciences"/>
    <n v="1"/>
    <n v="1250"/>
    <n v="4"/>
    <x v="1"/>
    <n v="85"/>
    <n v="3"/>
    <n v="4"/>
    <x v="7"/>
    <n v="4"/>
    <x v="1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  <x v="1"/>
    <x v="0"/>
    <x v="1"/>
  </r>
  <r>
    <x v="12"/>
    <x v="1"/>
    <s v="Travel_Rarely"/>
    <n v="1332"/>
    <x v="1"/>
    <n v="11"/>
    <x v="0"/>
    <s v="Medical"/>
    <n v="1"/>
    <n v="1251"/>
    <n v="3"/>
    <x v="1"/>
    <n v="80"/>
    <n v="3"/>
    <n v="2"/>
    <x v="4"/>
    <n v="1"/>
    <x v="1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  <x v="1"/>
    <x v="2"/>
    <x v="1"/>
  </r>
  <r>
    <x v="12"/>
    <x v="1"/>
    <s v="Travel_Rarely"/>
    <n v="1062"/>
    <x v="1"/>
    <n v="24"/>
    <x v="3"/>
    <s v="Medical"/>
    <n v="1"/>
    <n v="1252"/>
    <n v="3"/>
    <x v="0"/>
    <n v="96"/>
    <n v="2"/>
    <n v="2"/>
    <x v="4"/>
    <n v="1"/>
    <x v="0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  <x v="0"/>
    <x v="2"/>
    <x v="1"/>
  </r>
  <r>
    <x v="6"/>
    <x v="1"/>
    <s v="Travel_Rarely"/>
    <n v="326"/>
    <x v="0"/>
    <n v="3"/>
    <x v="3"/>
    <s v="Life Sciences"/>
    <n v="1"/>
    <n v="1254"/>
    <n v="3"/>
    <x v="0"/>
    <n v="48"/>
    <n v="2"/>
    <n v="2"/>
    <x v="0"/>
    <n v="4"/>
    <x v="0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  <x v="0"/>
    <x v="0"/>
    <x v="0"/>
  </r>
  <r>
    <x v="23"/>
    <x v="1"/>
    <s v="Travel_Rarely"/>
    <n v="920"/>
    <x v="1"/>
    <n v="3"/>
    <x v="3"/>
    <s v="Life Sciences"/>
    <n v="1"/>
    <n v="1255"/>
    <n v="3"/>
    <x v="1"/>
    <n v="96"/>
    <n v="1"/>
    <n v="5"/>
    <x v="7"/>
    <n v="4"/>
    <x v="1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  <x v="1"/>
    <x v="0"/>
    <x v="1"/>
  </r>
  <r>
    <x v="1"/>
    <x v="1"/>
    <s v="Travel_Rarely"/>
    <n v="1098"/>
    <x v="1"/>
    <n v="4"/>
    <x v="0"/>
    <s v="Medical"/>
    <n v="1"/>
    <n v="1256"/>
    <n v="1"/>
    <x v="1"/>
    <n v="85"/>
    <n v="2"/>
    <n v="5"/>
    <x v="5"/>
    <n v="3"/>
    <x v="1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  <x v="1"/>
    <x v="2"/>
    <x v="1"/>
  </r>
  <r>
    <x v="9"/>
    <x v="1"/>
    <s v="Travel_Frequently"/>
    <n v="469"/>
    <x v="1"/>
    <n v="3"/>
    <x v="3"/>
    <s v="Technical Degree"/>
    <n v="1"/>
    <n v="1257"/>
    <n v="3"/>
    <x v="1"/>
    <n v="46"/>
    <n v="3"/>
    <n v="1"/>
    <x v="1"/>
    <n v="2"/>
    <x v="1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  <x v="1"/>
    <x v="4"/>
    <x v="1"/>
  </r>
  <r>
    <x v="26"/>
    <x v="1"/>
    <s v="Travel_Rarely"/>
    <n v="969"/>
    <x v="1"/>
    <n v="2"/>
    <x v="0"/>
    <s v="Technical Degree"/>
    <n v="1"/>
    <n v="1258"/>
    <n v="4"/>
    <x v="1"/>
    <n v="76"/>
    <n v="4"/>
    <n v="1"/>
    <x v="2"/>
    <n v="2"/>
    <x v="0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  <x v="1"/>
    <x v="4"/>
    <x v="1"/>
  </r>
  <r>
    <x v="4"/>
    <x v="1"/>
    <s v="Travel_Rarely"/>
    <n v="1167"/>
    <x v="1"/>
    <n v="4"/>
    <x v="0"/>
    <s v="Life Sciences"/>
    <n v="1"/>
    <n v="1259"/>
    <n v="1"/>
    <x v="1"/>
    <n v="76"/>
    <n v="3"/>
    <n v="1"/>
    <x v="1"/>
    <n v="3"/>
    <x v="2"/>
    <n v="2517"/>
    <n v="3208"/>
    <n v="1"/>
    <s v="Y"/>
    <s v="No"/>
    <n v="11"/>
    <n v="3"/>
    <n v="2"/>
    <n v="80"/>
    <n v="3"/>
    <n v="5"/>
    <n v="2"/>
    <n v="3"/>
    <n v="5"/>
    <n v="3"/>
    <n v="0"/>
    <n v="3"/>
    <m/>
    <x v="1"/>
    <x v="0"/>
    <x v="1"/>
  </r>
  <r>
    <x v="11"/>
    <x v="1"/>
    <s v="Travel_Rarely"/>
    <n v="1329"/>
    <x v="1"/>
    <n v="7"/>
    <x v="3"/>
    <s v="Life Sciences"/>
    <n v="1"/>
    <n v="1260"/>
    <n v="3"/>
    <x v="1"/>
    <n v="82"/>
    <n v="3"/>
    <n v="2"/>
    <x v="4"/>
    <n v="4"/>
    <x v="2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  <x v="1"/>
    <x v="0"/>
    <x v="1"/>
  </r>
  <r>
    <x v="26"/>
    <x v="1"/>
    <s v="Travel_Rarely"/>
    <n v="715"/>
    <x v="1"/>
    <n v="1"/>
    <x v="3"/>
    <s v="Life Sciences"/>
    <n v="1"/>
    <n v="1263"/>
    <n v="4"/>
    <x v="1"/>
    <n v="76"/>
    <n v="2"/>
    <n v="5"/>
    <x v="7"/>
    <n v="4"/>
    <x v="0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  <x v="1"/>
    <x v="0"/>
    <x v="1"/>
  </r>
  <r>
    <x v="11"/>
    <x v="1"/>
    <s v="Travel_Rarely"/>
    <n v="694"/>
    <x v="1"/>
    <n v="1"/>
    <x v="3"/>
    <s v="Life Sciences"/>
    <n v="1"/>
    <n v="1264"/>
    <n v="4"/>
    <x v="0"/>
    <n v="87"/>
    <n v="2"/>
    <n v="4"/>
    <x v="7"/>
    <n v="4"/>
    <x v="2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  <x v="0"/>
    <x v="0"/>
    <x v="1"/>
  </r>
  <r>
    <x v="13"/>
    <x v="1"/>
    <s v="Travel_Rarely"/>
    <n v="1320"/>
    <x v="1"/>
    <n v="20"/>
    <x v="3"/>
    <s v="Technical Degree"/>
    <n v="1"/>
    <n v="1265"/>
    <n v="3"/>
    <x v="0"/>
    <n v="89"/>
    <n v="4"/>
    <n v="1"/>
    <x v="1"/>
    <n v="3"/>
    <x v="1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  <x v="0"/>
    <x v="4"/>
    <x v="1"/>
  </r>
  <r>
    <x v="20"/>
    <x v="1"/>
    <s v="Travel_Rarely"/>
    <n v="1099"/>
    <x v="0"/>
    <n v="5"/>
    <x v="3"/>
    <s v="Marketing"/>
    <n v="1"/>
    <n v="1267"/>
    <n v="2"/>
    <x v="1"/>
    <n v="88"/>
    <n v="3"/>
    <n v="5"/>
    <x v="5"/>
    <n v="2"/>
    <x v="1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  <x v="1"/>
    <x v="3"/>
    <x v="0"/>
  </r>
  <r>
    <x v="3"/>
    <x v="1"/>
    <s v="Travel_Rarely"/>
    <n v="536"/>
    <x v="0"/>
    <n v="10"/>
    <x v="4"/>
    <s v="Marketing"/>
    <n v="1"/>
    <n v="1268"/>
    <n v="4"/>
    <x v="1"/>
    <n v="82"/>
    <n v="4"/>
    <n v="3"/>
    <x v="0"/>
    <n v="3"/>
    <x v="2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  <x v="1"/>
    <x v="3"/>
    <x v="0"/>
  </r>
  <r>
    <x v="37"/>
    <x v="1"/>
    <s v="Travel_Rarely"/>
    <n v="265"/>
    <x v="1"/>
    <n v="25"/>
    <x v="3"/>
    <s v="Life Sciences"/>
    <n v="1"/>
    <n v="1269"/>
    <n v="2"/>
    <x v="0"/>
    <n v="57"/>
    <n v="4"/>
    <n v="1"/>
    <x v="1"/>
    <n v="4"/>
    <x v="0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  <x v="0"/>
    <x v="0"/>
    <x v="1"/>
  </r>
  <r>
    <x v="30"/>
    <x v="1"/>
    <s v="Travel_Rarely"/>
    <n v="373"/>
    <x v="1"/>
    <n v="1"/>
    <x v="0"/>
    <s v="Life Sciences"/>
    <n v="1"/>
    <n v="1270"/>
    <n v="4"/>
    <x v="1"/>
    <n v="47"/>
    <n v="3"/>
    <n v="1"/>
    <x v="1"/>
    <n v="3"/>
    <x v="1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  <x v="1"/>
    <x v="0"/>
    <x v="1"/>
  </r>
  <r>
    <x v="36"/>
    <x v="0"/>
    <s v="Travel_Frequently"/>
    <n v="599"/>
    <x v="0"/>
    <n v="24"/>
    <x v="1"/>
    <s v="Life Sciences"/>
    <n v="1"/>
    <n v="1273"/>
    <n v="3"/>
    <x v="1"/>
    <n v="73"/>
    <n v="1"/>
    <n v="1"/>
    <x v="6"/>
    <n v="4"/>
    <x v="0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  <x v="1"/>
    <x v="0"/>
    <x v="0"/>
  </r>
  <r>
    <x v="25"/>
    <x v="1"/>
    <s v="Travel_Rarely"/>
    <n v="583"/>
    <x v="1"/>
    <n v="4"/>
    <x v="0"/>
    <s v="Life Sciences"/>
    <n v="1"/>
    <n v="1275"/>
    <n v="3"/>
    <x v="1"/>
    <n v="53"/>
    <n v="3"/>
    <n v="1"/>
    <x v="1"/>
    <n v="4"/>
    <x v="0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  <x v="1"/>
    <x v="0"/>
    <x v="1"/>
  </r>
  <r>
    <x v="28"/>
    <x v="0"/>
    <s v="Travel_Rarely"/>
    <n v="1449"/>
    <x v="0"/>
    <n v="2"/>
    <x v="3"/>
    <s v="Marketing"/>
    <n v="1"/>
    <n v="1277"/>
    <n v="1"/>
    <x v="0"/>
    <n v="94"/>
    <n v="1"/>
    <n v="5"/>
    <x v="5"/>
    <n v="2"/>
    <x v="0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  <x v="0"/>
    <x v="3"/>
    <x v="0"/>
  </r>
  <r>
    <x v="27"/>
    <x v="1"/>
    <s v="Non-Travel"/>
    <n v="177"/>
    <x v="1"/>
    <n v="8"/>
    <x v="1"/>
    <s v="Medical"/>
    <n v="1"/>
    <n v="1278"/>
    <n v="4"/>
    <x v="1"/>
    <n v="37"/>
    <n v="2"/>
    <n v="4"/>
    <x v="4"/>
    <n v="2"/>
    <x v="2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  <x v="1"/>
    <x v="2"/>
    <x v="1"/>
  </r>
  <r>
    <x v="18"/>
    <x v="0"/>
    <s v="Travel_Frequently"/>
    <n v="251"/>
    <x v="1"/>
    <n v="10"/>
    <x v="0"/>
    <s v="Life Sciences"/>
    <n v="1"/>
    <n v="1279"/>
    <n v="1"/>
    <x v="0"/>
    <n v="45"/>
    <n v="2"/>
    <n v="1"/>
    <x v="2"/>
    <n v="3"/>
    <x v="0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  <x v="0"/>
    <x v="0"/>
    <x v="1"/>
  </r>
  <r>
    <x v="21"/>
    <x v="1"/>
    <s v="Travel_Rarely"/>
    <n v="168"/>
    <x v="0"/>
    <n v="4"/>
    <x v="0"/>
    <s v="Marketing"/>
    <n v="1"/>
    <n v="1280"/>
    <n v="4"/>
    <x v="0"/>
    <n v="33"/>
    <n v="2"/>
    <n v="5"/>
    <x v="5"/>
    <n v="2"/>
    <x v="1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  <x v="0"/>
    <x v="3"/>
    <x v="0"/>
  </r>
  <r>
    <x v="13"/>
    <x v="1"/>
    <s v="Travel_Rarely"/>
    <n v="131"/>
    <x v="0"/>
    <n v="2"/>
    <x v="3"/>
    <s v="Marketing"/>
    <n v="1"/>
    <n v="1281"/>
    <n v="3"/>
    <x v="0"/>
    <n v="86"/>
    <n v="3"/>
    <n v="2"/>
    <x v="0"/>
    <n v="1"/>
    <x v="0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  <x v="0"/>
    <x v="3"/>
    <x v="0"/>
  </r>
  <r>
    <x v="31"/>
    <x v="1"/>
    <s v="Travel_Frequently"/>
    <n v="237"/>
    <x v="0"/>
    <n v="9"/>
    <x v="3"/>
    <s v="Life Sciences"/>
    <n v="1"/>
    <n v="1282"/>
    <n v="4"/>
    <x v="1"/>
    <n v="83"/>
    <n v="3"/>
    <n v="5"/>
    <x v="5"/>
    <n v="2"/>
    <x v="2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  <x v="1"/>
    <x v="0"/>
    <x v="0"/>
  </r>
  <r>
    <x v="6"/>
    <x v="1"/>
    <s v="Travel_Rarely"/>
    <n v="1429"/>
    <x v="1"/>
    <n v="18"/>
    <x v="2"/>
    <s v="Medical"/>
    <n v="1"/>
    <n v="1283"/>
    <n v="4"/>
    <x v="1"/>
    <n v="67"/>
    <n v="3"/>
    <n v="3"/>
    <x v="3"/>
    <n v="4"/>
    <x v="0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  <x v="1"/>
    <x v="2"/>
    <x v="1"/>
  </r>
  <r>
    <x v="13"/>
    <x v="1"/>
    <s v="Travel_Frequently"/>
    <n v="135"/>
    <x v="1"/>
    <n v="19"/>
    <x v="3"/>
    <s v="Medical"/>
    <n v="1"/>
    <n v="1285"/>
    <n v="3"/>
    <x v="0"/>
    <n v="46"/>
    <n v="3"/>
    <n v="2"/>
    <x v="2"/>
    <n v="2"/>
    <x v="2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  <x v="0"/>
    <x v="2"/>
    <x v="1"/>
  </r>
  <r>
    <x v="14"/>
    <x v="1"/>
    <s v="Travel_Frequently"/>
    <n v="791"/>
    <x v="1"/>
    <n v="1"/>
    <x v="2"/>
    <s v="Medical"/>
    <n v="1"/>
    <n v="1286"/>
    <n v="4"/>
    <x v="1"/>
    <n v="44"/>
    <n v="3"/>
    <n v="1"/>
    <x v="2"/>
    <n v="3"/>
    <x v="0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  <x v="1"/>
    <x v="2"/>
    <x v="1"/>
  </r>
  <r>
    <x v="20"/>
    <x v="1"/>
    <s v="Travel_Rarely"/>
    <n v="1199"/>
    <x v="1"/>
    <n v="4"/>
    <x v="0"/>
    <s v="Life Sciences"/>
    <n v="1"/>
    <n v="1288"/>
    <n v="3"/>
    <x v="1"/>
    <n v="92"/>
    <n v="4"/>
    <n v="5"/>
    <x v="5"/>
    <n v="1"/>
    <x v="2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  <x v="1"/>
    <x v="0"/>
    <x v="1"/>
  </r>
  <r>
    <x v="13"/>
    <x v="1"/>
    <s v="Travel_Frequently"/>
    <n v="648"/>
    <x v="2"/>
    <n v="11"/>
    <x v="3"/>
    <s v="Life Sciences"/>
    <n v="1"/>
    <n v="1289"/>
    <n v="3"/>
    <x v="1"/>
    <n v="56"/>
    <n v="2"/>
    <n v="2"/>
    <x v="8"/>
    <n v="2"/>
    <x v="1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  <x v="1"/>
    <x v="0"/>
    <x v="2"/>
  </r>
  <r>
    <x v="10"/>
    <x v="1"/>
    <s v="Travel_Rarely"/>
    <n v="735"/>
    <x v="1"/>
    <n v="6"/>
    <x v="1"/>
    <s v="Life Sciences"/>
    <n v="1"/>
    <n v="1291"/>
    <n v="3"/>
    <x v="1"/>
    <n v="66"/>
    <n v="3"/>
    <n v="1"/>
    <x v="1"/>
    <n v="3"/>
    <x v="1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  <x v="1"/>
    <x v="0"/>
    <x v="1"/>
  </r>
  <r>
    <x v="19"/>
    <x v="1"/>
    <s v="Travel_Rarely"/>
    <n v="603"/>
    <x v="1"/>
    <n v="7"/>
    <x v="2"/>
    <s v="Medical"/>
    <n v="1"/>
    <n v="1292"/>
    <n v="2"/>
    <x v="0"/>
    <n v="78"/>
    <n v="4"/>
    <n v="2"/>
    <x v="1"/>
    <n v="2"/>
    <x v="1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  <x v="0"/>
    <x v="2"/>
    <x v="1"/>
  </r>
  <r>
    <x v="23"/>
    <x v="1"/>
    <s v="Travel_Rarely"/>
    <n v="531"/>
    <x v="0"/>
    <n v="4"/>
    <x v="2"/>
    <s v="Marketing"/>
    <n v="1"/>
    <n v="1293"/>
    <n v="4"/>
    <x v="0"/>
    <n v="56"/>
    <n v="2"/>
    <n v="3"/>
    <x v="0"/>
    <n v="4"/>
    <x v="0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  <x v="0"/>
    <x v="3"/>
    <x v="0"/>
  </r>
  <r>
    <x v="9"/>
    <x v="1"/>
    <s v="Travel_Rarely"/>
    <n v="429"/>
    <x v="1"/>
    <n v="2"/>
    <x v="2"/>
    <s v="Life Sciences"/>
    <n v="1"/>
    <n v="1294"/>
    <n v="3"/>
    <x v="0"/>
    <n v="53"/>
    <n v="3"/>
    <n v="2"/>
    <x v="3"/>
    <n v="2"/>
    <x v="0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  <x v="0"/>
    <x v="0"/>
    <x v="1"/>
  </r>
  <r>
    <x v="20"/>
    <x v="0"/>
    <s v="Travel_Rarely"/>
    <n v="621"/>
    <x v="1"/>
    <n v="15"/>
    <x v="3"/>
    <s v="Medical"/>
    <n v="1"/>
    <n v="1295"/>
    <n v="1"/>
    <x v="0"/>
    <n v="73"/>
    <n v="3"/>
    <n v="3"/>
    <x v="4"/>
    <n v="4"/>
    <x v="1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  <x v="0"/>
    <x v="2"/>
    <x v="1"/>
  </r>
  <r>
    <x v="14"/>
    <x v="1"/>
    <s v="Travel_Frequently"/>
    <n v="193"/>
    <x v="1"/>
    <n v="2"/>
    <x v="3"/>
    <s v="Life Sciences"/>
    <n v="1"/>
    <n v="1296"/>
    <n v="4"/>
    <x v="1"/>
    <n v="52"/>
    <n v="2"/>
    <n v="1"/>
    <x v="2"/>
    <n v="4"/>
    <x v="1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  <x v="1"/>
    <x v="0"/>
    <x v="1"/>
  </r>
  <r>
    <x v="31"/>
    <x v="1"/>
    <s v="Travel_Frequently"/>
    <n v="968"/>
    <x v="1"/>
    <n v="6"/>
    <x v="0"/>
    <s v="Medical"/>
    <n v="1"/>
    <n v="1297"/>
    <n v="2"/>
    <x v="0"/>
    <n v="40"/>
    <n v="2"/>
    <n v="1"/>
    <x v="2"/>
    <n v="3"/>
    <x v="0"/>
    <n v="2838"/>
    <n v="4257"/>
    <n v="0"/>
    <s v="Y"/>
    <s v="No"/>
    <n v="14"/>
    <n v="3"/>
    <n v="2"/>
    <n v="80"/>
    <n v="0"/>
    <n v="8"/>
    <n v="6"/>
    <n v="2"/>
    <n v="7"/>
    <n v="0"/>
    <n v="7"/>
    <n v="7"/>
    <m/>
    <x v="0"/>
    <x v="2"/>
    <x v="1"/>
  </r>
  <r>
    <x v="7"/>
    <x v="1"/>
    <s v="Non-Travel"/>
    <n v="879"/>
    <x v="1"/>
    <n v="9"/>
    <x v="0"/>
    <s v="Medical"/>
    <n v="1"/>
    <n v="1298"/>
    <n v="3"/>
    <x v="0"/>
    <n v="72"/>
    <n v="3"/>
    <n v="2"/>
    <x v="3"/>
    <n v="3"/>
    <x v="0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  <x v="0"/>
    <x v="2"/>
    <x v="1"/>
  </r>
  <r>
    <x v="11"/>
    <x v="0"/>
    <s v="Travel_Rarely"/>
    <n v="806"/>
    <x v="1"/>
    <n v="7"/>
    <x v="3"/>
    <s v="Technical Degree"/>
    <n v="1"/>
    <n v="1299"/>
    <n v="2"/>
    <x v="0"/>
    <n v="39"/>
    <n v="3"/>
    <n v="1"/>
    <x v="2"/>
    <n v="3"/>
    <x v="2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  <x v="0"/>
    <x v="4"/>
    <x v="1"/>
  </r>
  <r>
    <x v="14"/>
    <x v="1"/>
    <s v="Travel_Rarely"/>
    <n v="640"/>
    <x v="1"/>
    <n v="1"/>
    <x v="3"/>
    <s v="Technical Degree"/>
    <n v="1"/>
    <n v="1301"/>
    <n v="4"/>
    <x v="1"/>
    <n v="84"/>
    <n v="3"/>
    <n v="1"/>
    <x v="1"/>
    <n v="1"/>
    <x v="0"/>
    <n v="2080"/>
    <n v="4732"/>
    <n v="2"/>
    <s v="Y"/>
    <s v="No"/>
    <n v="11"/>
    <n v="3"/>
    <n v="2"/>
    <n v="80"/>
    <n v="0"/>
    <n v="5"/>
    <n v="2"/>
    <n v="2"/>
    <n v="3"/>
    <n v="2"/>
    <n v="1"/>
    <n v="2"/>
    <m/>
    <x v="1"/>
    <x v="4"/>
    <x v="1"/>
  </r>
  <r>
    <x v="36"/>
    <x v="1"/>
    <s v="Travel_Rarely"/>
    <n v="266"/>
    <x v="1"/>
    <n v="1"/>
    <x v="3"/>
    <s v="Medical"/>
    <n v="1"/>
    <n v="1303"/>
    <n v="4"/>
    <x v="0"/>
    <n v="40"/>
    <n v="3"/>
    <n v="1"/>
    <x v="1"/>
    <n v="2"/>
    <x v="0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  <x v="0"/>
    <x v="2"/>
    <x v="1"/>
  </r>
  <r>
    <x v="5"/>
    <x v="1"/>
    <s v="Travel_Rarely"/>
    <n v="604"/>
    <x v="0"/>
    <n v="8"/>
    <x v="3"/>
    <s v="Medical"/>
    <n v="1"/>
    <n v="1304"/>
    <n v="3"/>
    <x v="1"/>
    <n v="56"/>
    <n v="4"/>
    <n v="2"/>
    <x v="0"/>
    <n v="4"/>
    <x v="1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  <x v="1"/>
    <x v="2"/>
    <x v="0"/>
  </r>
  <r>
    <x v="28"/>
    <x v="1"/>
    <s v="Travel_Frequently"/>
    <n v="364"/>
    <x v="1"/>
    <n v="25"/>
    <x v="3"/>
    <s v="Medical"/>
    <n v="1"/>
    <n v="1306"/>
    <n v="2"/>
    <x v="0"/>
    <n v="83"/>
    <n v="3"/>
    <n v="5"/>
    <x v="5"/>
    <n v="2"/>
    <x v="0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  <x v="0"/>
    <x v="2"/>
    <x v="1"/>
  </r>
  <r>
    <x v="22"/>
    <x v="1"/>
    <s v="Travel_Rarely"/>
    <n v="412"/>
    <x v="1"/>
    <n v="13"/>
    <x v="2"/>
    <s v="Medical"/>
    <n v="1"/>
    <n v="1307"/>
    <n v="3"/>
    <x v="0"/>
    <n v="94"/>
    <n v="2"/>
    <n v="4"/>
    <x v="5"/>
    <n v="2"/>
    <x v="2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  <x v="0"/>
    <x v="2"/>
    <x v="1"/>
  </r>
  <r>
    <x v="34"/>
    <x v="1"/>
    <s v="Travel_Rarely"/>
    <n v="848"/>
    <x v="1"/>
    <n v="23"/>
    <x v="2"/>
    <s v="Life Sciences"/>
    <n v="1"/>
    <n v="1308"/>
    <n v="1"/>
    <x v="1"/>
    <n v="88"/>
    <n v="3"/>
    <n v="1"/>
    <x v="1"/>
    <n v="3"/>
    <x v="2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  <x v="1"/>
    <x v="0"/>
    <x v="1"/>
  </r>
  <r>
    <x v="5"/>
    <x v="0"/>
    <s v="Travel_Rarely"/>
    <n v="1089"/>
    <x v="1"/>
    <n v="7"/>
    <x v="0"/>
    <s v="Life Sciences"/>
    <n v="1"/>
    <n v="1309"/>
    <n v="4"/>
    <x v="1"/>
    <n v="79"/>
    <n v="3"/>
    <n v="2"/>
    <x v="2"/>
    <n v="3"/>
    <x v="1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  <x v="1"/>
    <x v="0"/>
    <x v="1"/>
  </r>
  <r>
    <x v="22"/>
    <x v="0"/>
    <s v="Travel_Rarely"/>
    <n v="360"/>
    <x v="1"/>
    <n v="23"/>
    <x v="3"/>
    <s v="Medical"/>
    <n v="1"/>
    <n v="1310"/>
    <n v="3"/>
    <x v="1"/>
    <n v="93"/>
    <n v="3"/>
    <n v="1"/>
    <x v="1"/>
    <n v="1"/>
    <x v="0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  <x v="1"/>
    <x v="2"/>
    <x v="1"/>
  </r>
  <r>
    <x v="7"/>
    <x v="1"/>
    <s v="Travel_Rarely"/>
    <n v="1138"/>
    <x v="1"/>
    <n v="6"/>
    <x v="3"/>
    <s v="Technical Degree"/>
    <n v="1"/>
    <n v="1311"/>
    <n v="1"/>
    <x v="0"/>
    <n v="48"/>
    <n v="2"/>
    <n v="2"/>
    <x v="2"/>
    <n v="4"/>
    <x v="1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  <x v="0"/>
    <x v="4"/>
    <x v="1"/>
  </r>
  <r>
    <x v="9"/>
    <x v="1"/>
    <s v="Travel_Rarely"/>
    <n v="325"/>
    <x v="1"/>
    <n v="10"/>
    <x v="2"/>
    <s v="Technical Degree"/>
    <n v="1"/>
    <n v="1312"/>
    <n v="4"/>
    <x v="0"/>
    <n v="63"/>
    <n v="3"/>
    <n v="3"/>
    <x v="4"/>
    <n v="3"/>
    <x v="1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  <x v="0"/>
    <x v="4"/>
    <x v="1"/>
  </r>
  <r>
    <x v="21"/>
    <x v="1"/>
    <s v="Travel_Rarely"/>
    <n v="991"/>
    <x v="2"/>
    <n v="1"/>
    <x v="0"/>
    <s v="Life Sciences"/>
    <n v="1"/>
    <n v="1314"/>
    <n v="4"/>
    <x v="0"/>
    <n v="44"/>
    <n v="3"/>
    <n v="1"/>
    <x v="8"/>
    <n v="1"/>
    <x v="0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  <x v="0"/>
    <x v="0"/>
    <x v="2"/>
  </r>
  <r>
    <x v="14"/>
    <x v="1"/>
    <s v="Non-Travel"/>
    <n v="1476"/>
    <x v="1"/>
    <n v="1"/>
    <x v="3"/>
    <s v="Life Sciences"/>
    <n v="1"/>
    <n v="1315"/>
    <n v="3"/>
    <x v="0"/>
    <n v="55"/>
    <n v="1"/>
    <n v="2"/>
    <x v="2"/>
    <n v="4"/>
    <x v="1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  <x v="0"/>
    <x v="0"/>
    <x v="1"/>
  </r>
  <r>
    <x v="24"/>
    <x v="1"/>
    <s v="Travel_Rarely"/>
    <n v="1322"/>
    <x v="1"/>
    <n v="28"/>
    <x v="3"/>
    <s v="Life Sciences"/>
    <n v="1"/>
    <n v="1317"/>
    <n v="4"/>
    <x v="0"/>
    <n v="43"/>
    <n v="3"/>
    <n v="4"/>
    <x v="7"/>
    <n v="1"/>
    <x v="1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  <x v="0"/>
    <x v="0"/>
    <x v="1"/>
  </r>
  <r>
    <x v="32"/>
    <x v="0"/>
    <s v="Travel_Rarely"/>
    <n v="299"/>
    <x v="0"/>
    <n v="25"/>
    <x v="2"/>
    <s v="Marketing"/>
    <n v="1"/>
    <n v="1318"/>
    <n v="4"/>
    <x v="1"/>
    <n v="57"/>
    <n v="2"/>
    <n v="3"/>
    <x v="0"/>
    <n v="2"/>
    <x v="0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  <x v="1"/>
    <x v="3"/>
    <x v="0"/>
  </r>
  <r>
    <x v="39"/>
    <x v="0"/>
    <s v="Travel_Rarely"/>
    <n v="1030"/>
    <x v="0"/>
    <n v="5"/>
    <x v="3"/>
    <s v="Life Sciences"/>
    <n v="1"/>
    <n v="1319"/>
    <n v="2"/>
    <x v="1"/>
    <n v="64"/>
    <n v="3"/>
    <n v="3"/>
    <x v="0"/>
    <n v="2"/>
    <x v="0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  <x v="1"/>
    <x v="0"/>
    <x v="0"/>
  </r>
  <r>
    <x v="7"/>
    <x v="1"/>
    <s v="Travel_Rarely"/>
    <n v="634"/>
    <x v="1"/>
    <n v="17"/>
    <x v="2"/>
    <s v="Medical"/>
    <n v="1"/>
    <n v="1321"/>
    <n v="2"/>
    <x v="0"/>
    <n v="95"/>
    <n v="3"/>
    <n v="3"/>
    <x v="5"/>
    <n v="1"/>
    <x v="1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  <x v="0"/>
    <x v="2"/>
    <x v="1"/>
  </r>
  <r>
    <x v="22"/>
    <x v="1"/>
    <s v="Travel_Rarely"/>
    <n v="524"/>
    <x v="1"/>
    <n v="18"/>
    <x v="0"/>
    <s v="Life Sciences"/>
    <n v="1"/>
    <n v="1322"/>
    <n v="1"/>
    <x v="1"/>
    <n v="32"/>
    <n v="3"/>
    <n v="2"/>
    <x v="3"/>
    <n v="3"/>
    <x v="0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  <x v="1"/>
    <x v="0"/>
    <x v="1"/>
  </r>
  <r>
    <x v="12"/>
    <x v="1"/>
    <s v="Non-Travel"/>
    <n v="587"/>
    <x v="0"/>
    <n v="2"/>
    <x v="2"/>
    <s v="Life Sciences"/>
    <n v="1"/>
    <n v="1324"/>
    <n v="4"/>
    <x v="0"/>
    <n v="57"/>
    <n v="3"/>
    <n v="3"/>
    <x v="0"/>
    <n v="3"/>
    <x v="2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  <x v="0"/>
    <x v="0"/>
    <x v="0"/>
  </r>
  <r>
    <x v="0"/>
    <x v="1"/>
    <s v="Non-Travel"/>
    <n v="256"/>
    <x v="0"/>
    <n v="10"/>
    <x v="0"/>
    <s v="Medical"/>
    <n v="1"/>
    <n v="1329"/>
    <n v="3"/>
    <x v="1"/>
    <n v="40"/>
    <n v="1"/>
    <n v="2"/>
    <x v="0"/>
    <n v="2"/>
    <x v="0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  <x v="1"/>
    <x v="2"/>
    <x v="0"/>
  </r>
  <r>
    <x v="12"/>
    <x v="0"/>
    <s v="Travel_Frequently"/>
    <n v="1060"/>
    <x v="0"/>
    <n v="1"/>
    <x v="3"/>
    <s v="Life Sciences"/>
    <n v="1"/>
    <n v="1331"/>
    <n v="4"/>
    <x v="0"/>
    <n v="54"/>
    <n v="3"/>
    <n v="1"/>
    <x v="6"/>
    <n v="2"/>
    <x v="0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  <x v="0"/>
    <x v="0"/>
    <x v="0"/>
  </r>
  <r>
    <x v="20"/>
    <x v="0"/>
    <s v="Travel_Rarely"/>
    <n v="935"/>
    <x v="1"/>
    <n v="3"/>
    <x v="3"/>
    <s v="Life Sciences"/>
    <n v="1"/>
    <n v="1333"/>
    <n v="1"/>
    <x v="1"/>
    <n v="89"/>
    <n v="3"/>
    <n v="1"/>
    <x v="2"/>
    <n v="1"/>
    <x v="1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  <x v="1"/>
    <x v="0"/>
    <x v="1"/>
  </r>
  <r>
    <x v="19"/>
    <x v="1"/>
    <s v="Non-Travel"/>
    <n v="495"/>
    <x v="1"/>
    <n v="2"/>
    <x v="1"/>
    <s v="Life Sciences"/>
    <n v="1"/>
    <n v="1334"/>
    <n v="3"/>
    <x v="1"/>
    <n v="37"/>
    <n v="3"/>
    <n v="4"/>
    <x v="5"/>
    <n v="3"/>
    <x v="1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  <x v="1"/>
    <x v="0"/>
    <x v="1"/>
  </r>
  <r>
    <x v="27"/>
    <x v="1"/>
    <s v="Travel_Rarely"/>
    <n v="282"/>
    <x v="1"/>
    <n v="2"/>
    <x v="0"/>
    <s v="Medical"/>
    <n v="1"/>
    <n v="1336"/>
    <n v="4"/>
    <x v="0"/>
    <n v="58"/>
    <n v="1"/>
    <n v="5"/>
    <x v="5"/>
    <n v="3"/>
    <x v="1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  <x v="0"/>
    <x v="2"/>
    <x v="1"/>
  </r>
  <r>
    <x v="29"/>
    <x v="1"/>
    <s v="Travel_Rarely"/>
    <n v="206"/>
    <x v="2"/>
    <n v="8"/>
    <x v="2"/>
    <s v="Life Sciences"/>
    <n v="1"/>
    <n v="1338"/>
    <n v="4"/>
    <x v="1"/>
    <n v="99"/>
    <n v="3"/>
    <n v="5"/>
    <x v="5"/>
    <n v="2"/>
    <x v="0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  <x v="1"/>
    <x v="0"/>
    <x v="2"/>
  </r>
  <r>
    <x v="32"/>
    <x v="1"/>
    <s v="Non-Travel"/>
    <n v="458"/>
    <x v="1"/>
    <n v="16"/>
    <x v="0"/>
    <s v="Life Sciences"/>
    <n v="1"/>
    <n v="1340"/>
    <n v="3"/>
    <x v="1"/>
    <n v="74"/>
    <n v="3"/>
    <n v="1"/>
    <x v="1"/>
    <n v="3"/>
    <x v="2"/>
    <n v="3544"/>
    <n v="8532"/>
    <n v="9"/>
    <s v="Y"/>
    <s v="No"/>
    <n v="16"/>
    <n v="3"/>
    <n v="2"/>
    <n v="80"/>
    <n v="1"/>
    <n v="6"/>
    <n v="0"/>
    <n v="3"/>
    <n v="4"/>
    <n v="2"/>
    <n v="0"/>
    <n v="0"/>
    <m/>
    <x v="1"/>
    <x v="0"/>
    <x v="1"/>
  </r>
  <r>
    <x v="13"/>
    <x v="1"/>
    <s v="Travel_Rarely"/>
    <n v="943"/>
    <x v="1"/>
    <n v="9"/>
    <x v="3"/>
    <s v="Life Sciences"/>
    <n v="1"/>
    <n v="1344"/>
    <n v="4"/>
    <x v="1"/>
    <n v="86"/>
    <n v="3"/>
    <n v="3"/>
    <x v="4"/>
    <n v="4"/>
    <x v="2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  <x v="1"/>
    <x v="0"/>
    <x v="1"/>
  </r>
  <r>
    <x v="32"/>
    <x v="1"/>
    <s v="Travel_Rarely"/>
    <n v="523"/>
    <x v="1"/>
    <n v="2"/>
    <x v="3"/>
    <s v="Life Sciences"/>
    <n v="1"/>
    <n v="1346"/>
    <n v="3"/>
    <x v="1"/>
    <n v="98"/>
    <n v="3"/>
    <n v="2"/>
    <x v="1"/>
    <n v="4"/>
    <x v="0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  <x v="1"/>
    <x v="0"/>
    <x v="1"/>
  </r>
  <r>
    <x v="0"/>
    <x v="1"/>
    <s v="Travel_Frequently"/>
    <n v="1018"/>
    <x v="0"/>
    <n v="1"/>
    <x v="3"/>
    <s v="Marketing"/>
    <n v="1"/>
    <n v="1349"/>
    <n v="3"/>
    <x v="0"/>
    <n v="66"/>
    <n v="3"/>
    <n v="2"/>
    <x v="0"/>
    <n v="1"/>
    <x v="2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  <x v="0"/>
    <x v="3"/>
    <x v="0"/>
  </r>
  <r>
    <x v="10"/>
    <x v="1"/>
    <s v="Travel_Frequently"/>
    <n v="482"/>
    <x v="1"/>
    <n v="4"/>
    <x v="2"/>
    <s v="Life Sciences"/>
    <n v="1"/>
    <n v="1350"/>
    <n v="3"/>
    <x v="1"/>
    <n v="87"/>
    <n v="3"/>
    <n v="2"/>
    <x v="1"/>
    <n v="3"/>
    <x v="0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  <x v="1"/>
    <x v="0"/>
    <x v="1"/>
  </r>
  <r>
    <x v="31"/>
    <x v="1"/>
    <s v="Travel_Rarely"/>
    <n v="770"/>
    <x v="2"/>
    <n v="5"/>
    <x v="3"/>
    <s v="Life Sciences"/>
    <n v="1"/>
    <n v="1352"/>
    <n v="3"/>
    <x v="1"/>
    <n v="84"/>
    <n v="3"/>
    <n v="4"/>
    <x v="5"/>
    <n v="2"/>
    <x v="2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  <x v="1"/>
    <x v="0"/>
    <x v="2"/>
  </r>
  <r>
    <x v="8"/>
    <x v="1"/>
    <s v="Travel_Rarely"/>
    <n v="1009"/>
    <x v="0"/>
    <n v="2"/>
    <x v="0"/>
    <s v="Life Sciences"/>
    <n v="1"/>
    <n v="1355"/>
    <n v="2"/>
    <x v="0"/>
    <n v="31"/>
    <n v="3"/>
    <n v="2"/>
    <x v="0"/>
    <n v="1"/>
    <x v="2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  <x v="0"/>
    <x v="0"/>
    <x v="0"/>
  </r>
  <r>
    <x v="13"/>
    <x v="1"/>
    <s v="Travel_Rarely"/>
    <n v="507"/>
    <x v="0"/>
    <n v="15"/>
    <x v="0"/>
    <s v="Medical"/>
    <n v="1"/>
    <n v="1356"/>
    <n v="3"/>
    <x v="0"/>
    <n v="66"/>
    <n v="3"/>
    <n v="2"/>
    <x v="0"/>
    <n v="1"/>
    <x v="0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  <x v="0"/>
    <x v="2"/>
    <x v="0"/>
  </r>
  <r>
    <x v="36"/>
    <x v="1"/>
    <s v="Travel_Rarely"/>
    <n v="882"/>
    <x v="1"/>
    <n v="19"/>
    <x v="1"/>
    <s v="Medical"/>
    <n v="1"/>
    <n v="1358"/>
    <n v="4"/>
    <x v="1"/>
    <n v="67"/>
    <n v="3"/>
    <n v="1"/>
    <x v="2"/>
    <n v="4"/>
    <x v="1"/>
    <n v="3669"/>
    <n v="9075"/>
    <n v="3"/>
    <s v="Y"/>
    <s v="No"/>
    <n v="11"/>
    <n v="3"/>
    <n v="3"/>
    <n v="80"/>
    <n v="3"/>
    <n v="7"/>
    <n v="6"/>
    <n v="2"/>
    <n v="3"/>
    <n v="2"/>
    <n v="1"/>
    <n v="2"/>
    <m/>
    <x v="1"/>
    <x v="2"/>
    <x v="1"/>
  </r>
  <r>
    <x v="34"/>
    <x v="0"/>
    <s v="Travel_Rarely"/>
    <n v="601"/>
    <x v="1"/>
    <n v="7"/>
    <x v="2"/>
    <s v="Medical"/>
    <n v="1"/>
    <n v="1360"/>
    <n v="3"/>
    <x v="0"/>
    <n v="53"/>
    <n v="2"/>
    <n v="3"/>
    <x v="3"/>
    <n v="1"/>
    <x v="1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  <x v="0"/>
    <x v="2"/>
    <x v="1"/>
  </r>
  <r>
    <x v="32"/>
    <x v="1"/>
    <s v="Travel_Rarely"/>
    <n v="329"/>
    <x v="1"/>
    <n v="1"/>
    <x v="2"/>
    <s v="Life Sciences"/>
    <n v="1"/>
    <n v="1361"/>
    <n v="2"/>
    <x v="1"/>
    <n v="88"/>
    <n v="3"/>
    <n v="1"/>
    <x v="2"/>
    <n v="2"/>
    <x v="1"/>
    <n v="2387"/>
    <n v="6762"/>
    <n v="3"/>
    <s v="Y"/>
    <s v="No"/>
    <n v="22"/>
    <n v="4"/>
    <n v="3"/>
    <n v="80"/>
    <n v="1"/>
    <n v="7"/>
    <n v="3"/>
    <n v="3"/>
    <n v="4"/>
    <n v="2"/>
    <n v="0"/>
    <n v="3"/>
    <m/>
    <x v="1"/>
    <x v="0"/>
    <x v="1"/>
  </r>
  <r>
    <x v="9"/>
    <x v="1"/>
    <s v="Travel_Frequently"/>
    <n v="607"/>
    <x v="0"/>
    <n v="7"/>
    <x v="3"/>
    <s v="Marketing"/>
    <n v="1"/>
    <n v="1362"/>
    <n v="1"/>
    <x v="0"/>
    <n v="83"/>
    <n v="4"/>
    <n v="2"/>
    <x v="0"/>
    <n v="1"/>
    <x v="1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  <x v="0"/>
    <x v="3"/>
    <x v="0"/>
  </r>
  <r>
    <x v="26"/>
    <x v="1"/>
    <s v="Travel_Rarely"/>
    <n v="855"/>
    <x v="1"/>
    <n v="4"/>
    <x v="3"/>
    <s v="Life Sciences"/>
    <n v="1"/>
    <n v="1363"/>
    <n v="4"/>
    <x v="1"/>
    <n v="54"/>
    <n v="3"/>
    <n v="3"/>
    <x v="3"/>
    <n v="4"/>
    <x v="0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  <x v="1"/>
    <x v="0"/>
    <x v="1"/>
  </r>
  <r>
    <x v="4"/>
    <x v="1"/>
    <s v="Travel_Rarely"/>
    <n v="1291"/>
    <x v="0"/>
    <n v="11"/>
    <x v="3"/>
    <s v="Medical"/>
    <n v="1"/>
    <n v="1364"/>
    <n v="3"/>
    <x v="0"/>
    <n v="98"/>
    <n v="4"/>
    <n v="1"/>
    <x v="6"/>
    <n v="4"/>
    <x v="1"/>
    <n v="2534"/>
    <n v="6527"/>
    <n v="8"/>
    <s v="Y"/>
    <s v="No"/>
    <n v="14"/>
    <n v="3"/>
    <n v="2"/>
    <n v="80"/>
    <n v="1"/>
    <n v="5"/>
    <n v="4"/>
    <n v="3"/>
    <n v="1"/>
    <n v="0"/>
    <n v="0"/>
    <n v="0"/>
    <m/>
    <x v="0"/>
    <x v="2"/>
    <x v="0"/>
  </r>
  <r>
    <x v="31"/>
    <x v="1"/>
    <s v="Travel_Rarely"/>
    <n v="1405"/>
    <x v="1"/>
    <n v="11"/>
    <x v="0"/>
    <s v="Technical Degree"/>
    <n v="1"/>
    <n v="1367"/>
    <n v="4"/>
    <x v="0"/>
    <n v="82"/>
    <n v="2"/>
    <n v="4"/>
    <x v="3"/>
    <n v="2"/>
    <x v="0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  <x v="0"/>
    <x v="4"/>
    <x v="1"/>
  </r>
  <r>
    <x v="41"/>
    <x v="1"/>
    <s v="Non-Travel"/>
    <n v="1124"/>
    <x v="1"/>
    <n v="1"/>
    <x v="3"/>
    <s v="Life Sciences"/>
    <n v="1"/>
    <n v="1368"/>
    <n v="4"/>
    <x v="0"/>
    <n v="97"/>
    <n v="3"/>
    <n v="1"/>
    <x v="2"/>
    <n v="4"/>
    <x v="0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  <x v="0"/>
    <x v="0"/>
    <x v="1"/>
  </r>
  <r>
    <x v="10"/>
    <x v="1"/>
    <s v="Travel_Rarely"/>
    <n v="817"/>
    <x v="1"/>
    <n v="1"/>
    <x v="3"/>
    <s v="Medical"/>
    <n v="1"/>
    <n v="1369"/>
    <n v="4"/>
    <x v="0"/>
    <n v="60"/>
    <n v="2"/>
    <n v="2"/>
    <x v="2"/>
    <n v="4"/>
    <x v="1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  <x v="0"/>
    <x v="2"/>
    <x v="1"/>
  </r>
  <r>
    <x v="4"/>
    <x v="1"/>
    <s v="Travel_Frequently"/>
    <n v="793"/>
    <x v="0"/>
    <n v="2"/>
    <x v="1"/>
    <s v="Life Sciences"/>
    <n v="1"/>
    <n v="1371"/>
    <n v="4"/>
    <x v="1"/>
    <n v="43"/>
    <n v="1"/>
    <n v="2"/>
    <x v="0"/>
    <n v="4"/>
    <x v="0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  <x v="1"/>
    <x v="0"/>
    <x v="0"/>
  </r>
  <r>
    <x v="27"/>
    <x v="0"/>
    <s v="Travel_Rarely"/>
    <n v="267"/>
    <x v="0"/>
    <n v="13"/>
    <x v="2"/>
    <s v="Marketing"/>
    <n v="1"/>
    <n v="1372"/>
    <n v="1"/>
    <x v="1"/>
    <n v="85"/>
    <n v="4"/>
    <n v="4"/>
    <x v="0"/>
    <n v="3"/>
    <x v="0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  <x v="1"/>
    <x v="3"/>
    <x v="0"/>
  </r>
  <r>
    <x v="29"/>
    <x v="1"/>
    <s v="Travel_Rarely"/>
    <n v="1369"/>
    <x v="1"/>
    <n v="23"/>
    <x v="3"/>
    <s v="Life Sciences"/>
    <n v="1"/>
    <n v="1373"/>
    <n v="4"/>
    <x v="1"/>
    <n v="68"/>
    <n v="3"/>
    <n v="4"/>
    <x v="3"/>
    <n v="2"/>
    <x v="1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  <x v="1"/>
    <x v="0"/>
    <x v="1"/>
  </r>
  <r>
    <x v="13"/>
    <x v="1"/>
    <s v="Non-Travel"/>
    <n v="999"/>
    <x v="1"/>
    <n v="26"/>
    <x v="1"/>
    <s v="Technical Degree"/>
    <n v="1"/>
    <n v="1374"/>
    <n v="1"/>
    <x v="0"/>
    <n v="92"/>
    <n v="2"/>
    <n v="1"/>
    <x v="1"/>
    <n v="3"/>
    <x v="2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  <x v="0"/>
    <x v="4"/>
    <x v="1"/>
  </r>
  <r>
    <x v="32"/>
    <x v="1"/>
    <s v="Travel_Rarely"/>
    <n v="1202"/>
    <x v="1"/>
    <n v="2"/>
    <x v="1"/>
    <s v="Medical"/>
    <n v="1"/>
    <n v="1375"/>
    <n v="2"/>
    <x v="0"/>
    <n v="89"/>
    <n v="4"/>
    <n v="2"/>
    <x v="4"/>
    <n v="3"/>
    <x v="2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  <x v="0"/>
    <x v="2"/>
    <x v="1"/>
  </r>
  <r>
    <x v="13"/>
    <x v="1"/>
    <s v="Travel_Rarely"/>
    <n v="285"/>
    <x v="1"/>
    <n v="29"/>
    <x v="3"/>
    <s v="Medical"/>
    <n v="1"/>
    <n v="1377"/>
    <n v="2"/>
    <x v="1"/>
    <n v="86"/>
    <n v="3"/>
    <n v="2"/>
    <x v="2"/>
    <n v="3"/>
    <x v="1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  <x v="1"/>
    <x v="2"/>
    <x v="1"/>
  </r>
  <r>
    <x v="12"/>
    <x v="0"/>
    <s v="Travel_Frequently"/>
    <n v="703"/>
    <x v="0"/>
    <n v="2"/>
    <x v="3"/>
    <s v="Life Sciences"/>
    <n v="1"/>
    <n v="1379"/>
    <n v="3"/>
    <x v="0"/>
    <n v="90"/>
    <n v="2"/>
    <n v="1"/>
    <x v="6"/>
    <n v="4"/>
    <x v="0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  <x v="0"/>
    <x v="0"/>
    <x v="0"/>
  </r>
  <r>
    <x v="10"/>
    <x v="0"/>
    <s v="Travel_Frequently"/>
    <n v="662"/>
    <x v="0"/>
    <n v="18"/>
    <x v="2"/>
    <s v="Marketing"/>
    <n v="1"/>
    <n v="1380"/>
    <n v="4"/>
    <x v="0"/>
    <n v="67"/>
    <n v="3"/>
    <n v="2"/>
    <x v="0"/>
    <n v="3"/>
    <x v="1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  <x v="0"/>
    <x v="3"/>
    <x v="0"/>
  </r>
  <r>
    <x v="8"/>
    <x v="1"/>
    <s v="Travel_Frequently"/>
    <n v="693"/>
    <x v="1"/>
    <n v="7"/>
    <x v="3"/>
    <s v="Life Sciences"/>
    <n v="1"/>
    <n v="1382"/>
    <n v="4"/>
    <x v="1"/>
    <n v="57"/>
    <n v="4"/>
    <n v="1"/>
    <x v="1"/>
    <n v="3"/>
    <x v="2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  <x v="1"/>
    <x v="0"/>
    <x v="1"/>
  </r>
  <r>
    <x v="13"/>
    <x v="1"/>
    <s v="Travel_Rarely"/>
    <n v="404"/>
    <x v="1"/>
    <n v="2"/>
    <x v="2"/>
    <s v="Technical Degree"/>
    <n v="1"/>
    <n v="1383"/>
    <n v="3"/>
    <x v="0"/>
    <n v="98"/>
    <n v="3"/>
    <n v="2"/>
    <x v="4"/>
    <n v="4"/>
    <x v="0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  <x v="0"/>
    <x v="4"/>
    <x v="1"/>
  </r>
  <r>
    <x v="14"/>
    <x v="1"/>
    <s v="Travel_Rarely"/>
    <n v="736"/>
    <x v="0"/>
    <n v="26"/>
    <x v="3"/>
    <s v="Life Sciences"/>
    <n v="1"/>
    <n v="1387"/>
    <n v="3"/>
    <x v="1"/>
    <n v="48"/>
    <n v="2"/>
    <n v="2"/>
    <x v="0"/>
    <n v="1"/>
    <x v="1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  <x v="1"/>
    <x v="0"/>
    <x v="0"/>
  </r>
  <r>
    <x v="12"/>
    <x v="0"/>
    <s v="Travel_Rarely"/>
    <n v="330"/>
    <x v="1"/>
    <n v="22"/>
    <x v="2"/>
    <s v="Medical"/>
    <n v="1"/>
    <n v="1389"/>
    <n v="4"/>
    <x v="1"/>
    <n v="98"/>
    <n v="3"/>
    <n v="2"/>
    <x v="3"/>
    <n v="3"/>
    <x v="1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  <x v="1"/>
    <x v="2"/>
    <x v="1"/>
  </r>
  <r>
    <x v="22"/>
    <x v="1"/>
    <s v="Travel_Rarely"/>
    <n v="1498"/>
    <x v="0"/>
    <n v="21"/>
    <x v="2"/>
    <s v="Life Sciences"/>
    <n v="1"/>
    <n v="1390"/>
    <n v="1"/>
    <x v="1"/>
    <n v="44"/>
    <n v="2"/>
    <n v="2"/>
    <x v="0"/>
    <n v="4"/>
    <x v="1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  <x v="1"/>
    <x v="0"/>
    <x v="0"/>
  </r>
  <r>
    <x v="31"/>
    <x v="1"/>
    <s v="Travel_Frequently"/>
    <n v="541"/>
    <x v="0"/>
    <n v="2"/>
    <x v="3"/>
    <s v="Marketing"/>
    <n v="1"/>
    <n v="1391"/>
    <n v="2"/>
    <x v="1"/>
    <n v="52"/>
    <n v="3"/>
    <n v="3"/>
    <x v="0"/>
    <n v="2"/>
    <x v="1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  <x v="1"/>
    <x v="3"/>
    <x v="0"/>
  </r>
  <r>
    <x v="0"/>
    <x v="1"/>
    <s v="Travel_Frequently"/>
    <n v="1200"/>
    <x v="1"/>
    <n v="22"/>
    <x v="3"/>
    <s v="Life Sciences"/>
    <n v="1"/>
    <n v="1392"/>
    <n v="4"/>
    <x v="0"/>
    <n v="75"/>
    <n v="3"/>
    <n v="2"/>
    <x v="1"/>
    <n v="4"/>
    <x v="2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  <x v="0"/>
    <x v="0"/>
    <x v="1"/>
  </r>
  <r>
    <x v="2"/>
    <x v="1"/>
    <s v="Travel_Rarely"/>
    <n v="1439"/>
    <x v="1"/>
    <n v="4"/>
    <x v="1"/>
    <s v="Life Sciences"/>
    <n v="1"/>
    <n v="1394"/>
    <n v="3"/>
    <x v="1"/>
    <n v="54"/>
    <n v="3"/>
    <n v="1"/>
    <x v="1"/>
    <n v="3"/>
    <x v="1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  <x v="1"/>
    <x v="0"/>
    <x v="1"/>
  </r>
  <r>
    <x v="3"/>
    <x v="1"/>
    <s v="Travel_Frequently"/>
    <n v="1111"/>
    <x v="0"/>
    <n v="5"/>
    <x v="1"/>
    <s v="Life Sciences"/>
    <n v="1"/>
    <n v="1395"/>
    <n v="2"/>
    <x v="1"/>
    <n v="61"/>
    <n v="3"/>
    <n v="2"/>
    <x v="0"/>
    <n v="4"/>
    <x v="1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  <x v="1"/>
    <x v="0"/>
    <x v="0"/>
  </r>
  <r>
    <x v="5"/>
    <x v="1"/>
    <s v="Travel_Rarely"/>
    <n v="499"/>
    <x v="0"/>
    <n v="2"/>
    <x v="1"/>
    <s v="Marketing"/>
    <n v="1"/>
    <n v="1396"/>
    <n v="3"/>
    <x v="1"/>
    <n v="36"/>
    <n v="3"/>
    <n v="2"/>
    <x v="0"/>
    <n v="2"/>
    <x v="1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  <x v="1"/>
    <x v="3"/>
    <x v="0"/>
  </r>
  <r>
    <x v="22"/>
    <x v="1"/>
    <s v="Non-Travel"/>
    <n v="1485"/>
    <x v="1"/>
    <n v="25"/>
    <x v="0"/>
    <s v="Life Sciences"/>
    <n v="1"/>
    <n v="1397"/>
    <n v="3"/>
    <x v="1"/>
    <n v="71"/>
    <n v="3"/>
    <n v="3"/>
    <x v="4"/>
    <n v="3"/>
    <x v="1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  <x v="1"/>
    <x v="0"/>
    <x v="1"/>
  </r>
  <r>
    <x v="36"/>
    <x v="1"/>
    <s v="Travel_Rarely"/>
    <n v="1372"/>
    <x v="0"/>
    <n v="18"/>
    <x v="1"/>
    <s v="Life Sciences"/>
    <n v="1"/>
    <n v="1399"/>
    <n v="1"/>
    <x v="1"/>
    <n v="93"/>
    <n v="4"/>
    <n v="2"/>
    <x v="0"/>
    <n v="3"/>
    <x v="1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  <x v="1"/>
    <x v="0"/>
    <x v="0"/>
  </r>
  <r>
    <x v="39"/>
    <x v="1"/>
    <s v="Travel_Frequently"/>
    <n v="322"/>
    <x v="1"/>
    <n v="28"/>
    <x v="0"/>
    <s v="Medical"/>
    <n v="1"/>
    <n v="1401"/>
    <n v="4"/>
    <x v="0"/>
    <n v="59"/>
    <n v="4"/>
    <n v="4"/>
    <x v="3"/>
    <n v="3"/>
    <x v="1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  <x v="0"/>
    <x v="2"/>
    <x v="1"/>
  </r>
  <r>
    <x v="23"/>
    <x v="1"/>
    <s v="Travel_Rarely"/>
    <n v="930"/>
    <x v="1"/>
    <n v="6"/>
    <x v="3"/>
    <s v="Medical"/>
    <n v="1"/>
    <n v="1402"/>
    <n v="1"/>
    <x v="0"/>
    <n v="73"/>
    <n v="2"/>
    <n v="2"/>
    <x v="1"/>
    <n v="3"/>
    <x v="0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  <x v="0"/>
    <x v="2"/>
    <x v="1"/>
  </r>
  <r>
    <x v="4"/>
    <x v="1"/>
    <s v="Travel_Rarely"/>
    <n v="205"/>
    <x v="0"/>
    <n v="10"/>
    <x v="3"/>
    <s v="Marketing"/>
    <n v="1"/>
    <n v="1403"/>
    <n v="4"/>
    <x v="0"/>
    <n v="98"/>
    <n v="2"/>
    <n v="2"/>
    <x v="0"/>
    <n v="4"/>
    <x v="1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  <x v="0"/>
    <x v="3"/>
    <x v="0"/>
  </r>
  <r>
    <x v="4"/>
    <x v="0"/>
    <s v="Travel_Rarely"/>
    <n v="135"/>
    <x v="1"/>
    <n v="17"/>
    <x v="2"/>
    <s v="Life Sciences"/>
    <n v="1"/>
    <n v="1405"/>
    <n v="4"/>
    <x v="0"/>
    <n v="51"/>
    <n v="3"/>
    <n v="1"/>
    <x v="1"/>
    <n v="3"/>
    <x v="0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  <x v="0"/>
    <x v="0"/>
    <x v="1"/>
  </r>
  <r>
    <x v="25"/>
    <x v="1"/>
    <s v="Travel_Rarely"/>
    <n v="683"/>
    <x v="1"/>
    <n v="2"/>
    <x v="1"/>
    <s v="Medical"/>
    <n v="1"/>
    <n v="1407"/>
    <n v="1"/>
    <x v="1"/>
    <n v="36"/>
    <n v="2"/>
    <n v="1"/>
    <x v="1"/>
    <n v="4"/>
    <x v="0"/>
    <n v="3904"/>
    <n v="4050"/>
    <n v="0"/>
    <s v="Y"/>
    <s v="No"/>
    <n v="12"/>
    <n v="3"/>
    <n v="4"/>
    <n v="80"/>
    <n v="0"/>
    <n v="5"/>
    <n v="2"/>
    <n v="3"/>
    <n v="4"/>
    <n v="3"/>
    <n v="1"/>
    <n v="1"/>
    <m/>
    <x v="1"/>
    <x v="2"/>
    <x v="1"/>
  </r>
  <r>
    <x v="19"/>
    <x v="1"/>
    <s v="Travel_Rarely"/>
    <n v="1147"/>
    <x v="2"/>
    <n v="10"/>
    <x v="3"/>
    <s v="Human Resources"/>
    <n v="1"/>
    <n v="1408"/>
    <n v="3"/>
    <x v="0"/>
    <n v="31"/>
    <n v="3"/>
    <n v="4"/>
    <x v="5"/>
    <n v="1"/>
    <x v="1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  <x v="0"/>
    <x v="5"/>
    <x v="2"/>
  </r>
  <r>
    <x v="39"/>
    <x v="1"/>
    <s v="Travel_Rarely"/>
    <n v="258"/>
    <x v="1"/>
    <n v="8"/>
    <x v="2"/>
    <s v="Other"/>
    <n v="1"/>
    <n v="1409"/>
    <n v="3"/>
    <x v="0"/>
    <n v="54"/>
    <n v="3"/>
    <n v="1"/>
    <x v="2"/>
    <n v="1"/>
    <x v="1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  <x v="0"/>
    <x v="1"/>
    <x v="1"/>
  </r>
  <r>
    <x v="2"/>
    <x v="1"/>
    <s v="Travel_Rarely"/>
    <n v="1462"/>
    <x v="1"/>
    <n v="11"/>
    <x v="3"/>
    <s v="Medical"/>
    <n v="1"/>
    <n v="1411"/>
    <n v="1"/>
    <x v="0"/>
    <n v="94"/>
    <n v="3"/>
    <n v="1"/>
    <x v="2"/>
    <n v="3"/>
    <x v="0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  <x v="0"/>
    <x v="2"/>
    <x v="1"/>
  </r>
  <r>
    <x v="10"/>
    <x v="1"/>
    <s v="Travel_Frequently"/>
    <n v="200"/>
    <x v="1"/>
    <n v="18"/>
    <x v="0"/>
    <s v="Life Sciences"/>
    <n v="1"/>
    <n v="1412"/>
    <n v="3"/>
    <x v="1"/>
    <n v="60"/>
    <n v="3"/>
    <n v="3"/>
    <x v="3"/>
    <n v="4"/>
    <x v="0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  <x v="1"/>
    <x v="0"/>
    <x v="1"/>
  </r>
  <r>
    <x v="36"/>
    <x v="1"/>
    <s v="Travel_Rarely"/>
    <n v="949"/>
    <x v="1"/>
    <n v="1"/>
    <x v="3"/>
    <s v="Technical Degree"/>
    <n v="1"/>
    <n v="1415"/>
    <n v="1"/>
    <x v="1"/>
    <n v="81"/>
    <n v="3"/>
    <n v="1"/>
    <x v="2"/>
    <n v="4"/>
    <x v="1"/>
    <n v="3229"/>
    <n v="4910"/>
    <n v="4"/>
    <s v="Y"/>
    <s v="No"/>
    <n v="11"/>
    <n v="3"/>
    <n v="2"/>
    <n v="80"/>
    <n v="1"/>
    <n v="7"/>
    <n v="2"/>
    <n v="2"/>
    <n v="3"/>
    <n v="2"/>
    <n v="0"/>
    <n v="2"/>
    <m/>
    <x v="1"/>
    <x v="4"/>
    <x v="1"/>
  </r>
  <r>
    <x v="25"/>
    <x v="1"/>
    <s v="Travel_Rarely"/>
    <n v="652"/>
    <x v="1"/>
    <n v="7"/>
    <x v="3"/>
    <s v="Other"/>
    <n v="1"/>
    <n v="1417"/>
    <n v="3"/>
    <x v="1"/>
    <n v="100"/>
    <n v="4"/>
    <n v="1"/>
    <x v="2"/>
    <n v="1"/>
    <x v="0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  <x v="1"/>
    <x v="1"/>
    <x v="1"/>
  </r>
  <r>
    <x v="11"/>
    <x v="1"/>
    <s v="Travel_Rarely"/>
    <n v="332"/>
    <x v="2"/>
    <n v="17"/>
    <x v="3"/>
    <s v="Other"/>
    <n v="1"/>
    <n v="1419"/>
    <n v="2"/>
    <x v="1"/>
    <n v="51"/>
    <n v="2"/>
    <n v="3"/>
    <x v="8"/>
    <n v="1"/>
    <x v="0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  <x v="1"/>
    <x v="1"/>
    <x v="2"/>
  </r>
  <r>
    <x v="1"/>
    <x v="0"/>
    <s v="Travel_Frequently"/>
    <n v="1475"/>
    <x v="1"/>
    <n v="28"/>
    <x v="0"/>
    <s v="Life Sciences"/>
    <n v="1"/>
    <n v="1420"/>
    <n v="1"/>
    <x v="1"/>
    <n v="97"/>
    <n v="2"/>
    <n v="2"/>
    <x v="2"/>
    <n v="1"/>
    <x v="0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  <x v="1"/>
    <x v="0"/>
    <x v="1"/>
  </r>
  <r>
    <x v="11"/>
    <x v="0"/>
    <s v="Travel_Frequently"/>
    <n v="337"/>
    <x v="1"/>
    <n v="14"/>
    <x v="1"/>
    <s v="Other"/>
    <n v="1"/>
    <n v="1421"/>
    <n v="3"/>
    <x v="0"/>
    <n v="84"/>
    <n v="3"/>
    <n v="3"/>
    <x v="4"/>
    <n v="4"/>
    <x v="0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  <x v="0"/>
    <x v="1"/>
    <x v="1"/>
  </r>
  <r>
    <x v="33"/>
    <x v="1"/>
    <s v="Travel_Rarely"/>
    <n v="971"/>
    <x v="1"/>
    <n v="1"/>
    <x v="3"/>
    <s v="Medical"/>
    <n v="1"/>
    <n v="1422"/>
    <n v="4"/>
    <x v="0"/>
    <n v="54"/>
    <n v="3"/>
    <n v="4"/>
    <x v="7"/>
    <n v="4"/>
    <x v="0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  <x v="0"/>
    <x v="2"/>
    <x v="1"/>
  </r>
  <r>
    <x v="34"/>
    <x v="1"/>
    <s v="Travel_Rarely"/>
    <n v="1055"/>
    <x v="1"/>
    <n v="1"/>
    <x v="3"/>
    <s v="Medical"/>
    <n v="1"/>
    <n v="1423"/>
    <n v="4"/>
    <x v="0"/>
    <n v="76"/>
    <n v="3"/>
    <n v="5"/>
    <x v="7"/>
    <n v="1"/>
    <x v="1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  <x v="0"/>
    <x v="2"/>
    <x v="1"/>
  </r>
  <r>
    <x v="27"/>
    <x v="1"/>
    <s v="Travel_Rarely"/>
    <n v="1136"/>
    <x v="1"/>
    <n v="1"/>
    <x v="2"/>
    <s v="Medical"/>
    <n v="1"/>
    <n v="1424"/>
    <n v="2"/>
    <x v="1"/>
    <n v="81"/>
    <n v="4"/>
    <n v="4"/>
    <x v="7"/>
    <n v="4"/>
    <x v="2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  <x v="1"/>
    <x v="2"/>
    <x v="1"/>
  </r>
  <r>
    <x v="9"/>
    <x v="1"/>
    <s v="Travel_Rarely"/>
    <n v="1174"/>
    <x v="0"/>
    <n v="3"/>
    <x v="2"/>
    <s v="Marketing"/>
    <n v="1"/>
    <n v="1425"/>
    <n v="1"/>
    <x v="0"/>
    <n v="99"/>
    <n v="3"/>
    <n v="2"/>
    <x v="0"/>
    <n v="2"/>
    <x v="0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  <x v="0"/>
    <x v="3"/>
    <x v="0"/>
  </r>
  <r>
    <x v="12"/>
    <x v="0"/>
    <s v="Travel_Frequently"/>
    <n v="667"/>
    <x v="0"/>
    <n v="1"/>
    <x v="2"/>
    <s v="Life Sciences"/>
    <n v="1"/>
    <n v="1427"/>
    <n v="2"/>
    <x v="0"/>
    <n v="50"/>
    <n v="1"/>
    <n v="1"/>
    <x v="6"/>
    <n v="3"/>
    <x v="0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  <x v="0"/>
    <x v="0"/>
    <x v="0"/>
  </r>
  <r>
    <x v="7"/>
    <x v="1"/>
    <s v="Travel_Rarely"/>
    <n v="855"/>
    <x v="0"/>
    <n v="7"/>
    <x v="2"/>
    <s v="Marketing"/>
    <n v="1"/>
    <n v="1428"/>
    <n v="4"/>
    <x v="0"/>
    <n v="73"/>
    <n v="3"/>
    <n v="2"/>
    <x v="0"/>
    <n v="1"/>
    <x v="2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  <x v="0"/>
    <x v="3"/>
    <x v="0"/>
  </r>
  <r>
    <x v="12"/>
    <x v="1"/>
    <s v="Travel_Rarely"/>
    <n v="182"/>
    <x v="1"/>
    <n v="8"/>
    <x v="4"/>
    <s v="Life Sciences"/>
    <n v="1"/>
    <n v="1430"/>
    <n v="1"/>
    <x v="0"/>
    <n v="93"/>
    <n v="3"/>
    <n v="4"/>
    <x v="7"/>
    <n v="2"/>
    <x v="0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  <x v="0"/>
    <x v="0"/>
    <x v="1"/>
  </r>
  <r>
    <x v="13"/>
    <x v="1"/>
    <s v="Travel_Frequently"/>
    <n v="560"/>
    <x v="1"/>
    <n v="1"/>
    <x v="2"/>
    <s v="Other"/>
    <n v="1"/>
    <n v="1431"/>
    <n v="4"/>
    <x v="1"/>
    <n v="91"/>
    <n v="3"/>
    <n v="1"/>
    <x v="1"/>
    <n v="1"/>
    <x v="2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  <x v="1"/>
    <x v="1"/>
    <x v="1"/>
  </r>
  <r>
    <x v="12"/>
    <x v="0"/>
    <s v="Travel_Rarely"/>
    <n v="202"/>
    <x v="1"/>
    <n v="8"/>
    <x v="3"/>
    <s v="Life Sciences"/>
    <n v="1"/>
    <n v="1433"/>
    <n v="1"/>
    <x v="0"/>
    <n v="34"/>
    <n v="2"/>
    <n v="1"/>
    <x v="1"/>
    <n v="2"/>
    <x v="0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  <x v="0"/>
    <x v="0"/>
    <x v="1"/>
  </r>
  <r>
    <x v="4"/>
    <x v="1"/>
    <s v="Travel_Rarely"/>
    <n v="1377"/>
    <x v="1"/>
    <n v="11"/>
    <x v="1"/>
    <s v="Life Sciences"/>
    <n v="1"/>
    <n v="1434"/>
    <n v="2"/>
    <x v="1"/>
    <n v="91"/>
    <n v="3"/>
    <n v="1"/>
    <x v="2"/>
    <n v="1"/>
    <x v="1"/>
    <n v="2099"/>
    <n v="7679"/>
    <n v="0"/>
    <s v="Y"/>
    <s v="No"/>
    <n v="14"/>
    <n v="3"/>
    <n v="2"/>
    <n v="80"/>
    <n v="0"/>
    <n v="6"/>
    <n v="3"/>
    <n v="4"/>
    <n v="5"/>
    <n v="0"/>
    <n v="1"/>
    <n v="4"/>
    <m/>
    <x v="1"/>
    <x v="0"/>
    <x v="1"/>
  </r>
  <r>
    <x v="9"/>
    <x v="1"/>
    <s v="Travel_Rarely"/>
    <n v="172"/>
    <x v="1"/>
    <n v="4"/>
    <x v="2"/>
    <s v="Life Sciences"/>
    <n v="1"/>
    <n v="1435"/>
    <n v="1"/>
    <x v="1"/>
    <n v="37"/>
    <n v="2"/>
    <n v="2"/>
    <x v="2"/>
    <n v="4"/>
    <x v="0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  <x v="1"/>
    <x v="0"/>
    <x v="1"/>
  </r>
  <r>
    <x v="9"/>
    <x v="1"/>
    <s v="Travel_Rarely"/>
    <n v="329"/>
    <x v="0"/>
    <n v="16"/>
    <x v="2"/>
    <s v="Marketing"/>
    <n v="1"/>
    <n v="1436"/>
    <n v="3"/>
    <x v="0"/>
    <n v="98"/>
    <n v="2"/>
    <n v="2"/>
    <x v="0"/>
    <n v="1"/>
    <x v="1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  <x v="0"/>
    <x v="3"/>
    <x v="0"/>
  </r>
  <r>
    <x v="40"/>
    <x v="1"/>
    <s v="Travel_Rarely"/>
    <n v="465"/>
    <x v="1"/>
    <n v="1"/>
    <x v="3"/>
    <s v="Technical Degree"/>
    <n v="1"/>
    <n v="1438"/>
    <n v="1"/>
    <x v="1"/>
    <n v="74"/>
    <n v="3"/>
    <n v="1"/>
    <x v="1"/>
    <n v="4"/>
    <x v="1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  <x v="1"/>
    <x v="4"/>
    <x v="1"/>
  </r>
  <r>
    <x v="36"/>
    <x v="0"/>
    <s v="Travel_Rarely"/>
    <n v="383"/>
    <x v="0"/>
    <n v="9"/>
    <x v="0"/>
    <s v="Life Sciences"/>
    <n v="1"/>
    <n v="1439"/>
    <n v="1"/>
    <x v="1"/>
    <n v="68"/>
    <n v="2"/>
    <n v="1"/>
    <x v="6"/>
    <n v="1"/>
    <x v="1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  <x v="1"/>
    <x v="0"/>
    <x v="0"/>
  </r>
  <r>
    <x v="2"/>
    <x v="1"/>
    <s v="Non-Travel"/>
    <n v="1413"/>
    <x v="1"/>
    <n v="5"/>
    <x v="0"/>
    <s v="Technical Degree"/>
    <n v="1"/>
    <n v="1440"/>
    <n v="3"/>
    <x v="1"/>
    <n v="84"/>
    <n v="4"/>
    <n v="1"/>
    <x v="2"/>
    <n v="3"/>
    <x v="0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  <x v="1"/>
    <x v="4"/>
    <x v="1"/>
  </r>
  <r>
    <x v="29"/>
    <x v="1"/>
    <s v="Travel_Rarely"/>
    <n v="1255"/>
    <x v="1"/>
    <n v="1"/>
    <x v="0"/>
    <s v="Life Sciences"/>
    <n v="1"/>
    <n v="1441"/>
    <n v="1"/>
    <x v="0"/>
    <n v="90"/>
    <n v="3"/>
    <n v="1"/>
    <x v="1"/>
    <n v="1"/>
    <x v="1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  <x v="0"/>
    <x v="0"/>
    <x v="1"/>
  </r>
  <r>
    <x v="40"/>
    <x v="1"/>
    <s v="Travel_Rarely"/>
    <n v="359"/>
    <x v="1"/>
    <n v="2"/>
    <x v="2"/>
    <s v="Medical"/>
    <n v="1"/>
    <n v="1443"/>
    <n v="1"/>
    <x v="0"/>
    <n v="82"/>
    <n v="3"/>
    <n v="4"/>
    <x v="7"/>
    <n v="3"/>
    <x v="1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  <x v="0"/>
    <x v="2"/>
    <x v="1"/>
  </r>
  <r>
    <x v="17"/>
    <x v="1"/>
    <s v="Travel_Rarely"/>
    <n v="1476"/>
    <x v="0"/>
    <n v="4"/>
    <x v="1"/>
    <s v="Medical"/>
    <n v="1"/>
    <n v="1445"/>
    <n v="4"/>
    <x v="0"/>
    <n v="42"/>
    <n v="3"/>
    <n v="2"/>
    <x v="0"/>
    <n v="3"/>
    <x v="1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  <x v="0"/>
    <x v="2"/>
    <x v="0"/>
  </r>
  <r>
    <x v="5"/>
    <x v="1"/>
    <s v="Travel_Rarely"/>
    <n v="601"/>
    <x v="0"/>
    <n v="7"/>
    <x v="4"/>
    <s v="Marketing"/>
    <n v="1"/>
    <n v="1446"/>
    <n v="4"/>
    <x v="1"/>
    <n v="97"/>
    <n v="3"/>
    <n v="2"/>
    <x v="0"/>
    <n v="4"/>
    <x v="1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  <x v="1"/>
    <x v="3"/>
    <x v="0"/>
  </r>
  <r>
    <x v="13"/>
    <x v="1"/>
    <s v="Travel_Rarely"/>
    <n v="401"/>
    <x v="1"/>
    <n v="1"/>
    <x v="3"/>
    <s v="Life Sciences"/>
    <n v="1"/>
    <n v="1447"/>
    <n v="4"/>
    <x v="0"/>
    <n v="86"/>
    <n v="2"/>
    <n v="1"/>
    <x v="2"/>
    <n v="2"/>
    <x v="1"/>
    <n v="3294"/>
    <n v="3708"/>
    <n v="5"/>
    <s v="Y"/>
    <s v="No"/>
    <n v="17"/>
    <n v="3"/>
    <n v="1"/>
    <n v="80"/>
    <n v="1"/>
    <n v="7"/>
    <n v="2"/>
    <n v="2"/>
    <n v="5"/>
    <n v="4"/>
    <n v="0"/>
    <n v="2"/>
    <m/>
    <x v="0"/>
    <x v="0"/>
    <x v="1"/>
  </r>
  <r>
    <x v="0"/>
    <x v="1"/>
    <s v="Travel_Rarely"/>
    <n v="1283"/>
    <x v="1"/>
    <n v="5"/>
    <x v="4"/>
    <s v="Medical"/>
    <n v="1"/>
    <n v="1448"/>
    <n v="2"/>
    <x v="1"/>
    <n v="90"/>
    <n v="4"/>
    <n v="1"/>
    <x v="1"/>
    <n v="3"/>
    <x v="1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  <x v="1"/>
    <x v="2"/>
    <x v="1"/>
  </r>
  <r>
    <x v="32"/>
    <x v="1"/>
    <s v="Non-Travel"/>
    <n v="663"/>
    <x v="1"/>
    <n v="9"/>
    <x v="2"/>
    <s v="Other"/>
    <n v="1"/>
    <n v="1449"/>
    <n v="3"/>
    <x v="1"/>
    <n v="81"/>
    <n v="3"/>
    <n v="2"/>
    <x v="2"/>
    <n v="3"/>
    <x v="2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  <x v="1"/>
    <x v="1"/>
    <x v="1"/>
  </r>
  <r>
    <x v="12"/>
    <x v="1"/>
    <s v="Travel_Rarely"/>
    <n v="326"/>
    <x v="0"/>
    <n v="8"/>
    <x v="0"/>
    <s v="Life Sciences"/>
    <n v="1"/>
    <n v="1453"/>
    <n v="1"/>
    <x v="1"/>
    <n v="31"/>
    <n v="3"/>
    <n v="3"/>
    <x v="0"/>
    <n v="4"/>
    <x v="2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  <x v="1"/>
    <x v="0"/>
    <x v="0"/>
  </r>
  <r>
    <x v="21"/>
    <x v="0"/>
    <s v="Travel_Rarely"/>
    <n v="377"/>
    <x v="0"/>
    <n v="9"/>
    <x v="3"/>
    <s v="Marketing"/>
    <n v="1"/>
    <n v="1457"/>
    <n v="1"/>
    <x v="1"/>
    <n v="52"/>
    <n v="3"/>
    <n v="3"/>
    <x v="0"/>
    <n v="4"/>
    <x v="2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  <x v="1"/>
    <x v="3"/>
    <x v="0"/>
  </r>
  <r>
    <x v="22"/>
    <x v="0"/>
    <s v="Non-Travel"/>
    <n v="592"/>
    <x v="1"/>
    <n v="2"/>
    <x v="3"/>
    <s v="Life Sciences"/>
    <n v="1"/>
    <n v="1458"/>
    <n v="1"/>
    <x v="0"/>
    <n v="54"/>
    <n v="2"/>
    <n v="1"/>
    <x v="2"/>
    <n v="1"/>
    <x v="0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  <x v="0"/>
    <x v="0"/>
    <x v="1"/>
  </r>
  <r>
    <x v="12"/>
    <x v="0"/>
    <s v="Travel_Frequently"/>
    <n v="1445"/>
    <x v="1"/>
    <n v="1"/>
    <x v="4"/>
    <s v="Life Sciences"/>
    <n v="1"/>
    <n v="1459"/>
    <n v="3"/>
    <x v="0"/>
    <n v="100"/>
    <n v="4"/>
    <n v="3"/>
    <x v="3"/>
    <n v="2"/>
    <x v="0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  <x v="0"/>
    <x v="0"/>
    <x v="1"/>
  </r>
  <r>
    <x v="28"/>
    <x v="1"/>
    <s v="Travel_Rarely"/>
    <n v="1038"/>
    <x v="1"/>
    <n v="20"/>
    <x v="3"/>
    <s v="Medical"/>
    <n v="1"/>
    <n v="1460"/>
    <n v="2"/>
    <x v="1"/>
    <n v="95"/>
    <n v="1"/>
    <n v="3"/>
    <x v="4"/>
    <n v="1"/>
    <x v="2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  <x v="1"/>
    <x v="2"/>
    <x v="1"/>
  </r>
  <r>
    <x v="12"/>
    <x v="1"/>
    <s v="Travel_Rarely"/>
    <n v="1398"/>
    <x v="2"/>
    <n v="8"/>
    <x v="0"/>
    <s v="Medical"/>
    <n v="1"/>
    <n v="1461"/>
    <n v="4"/>
    <x v="0"/>
    <n v="96"/>
    <n v="4"/>
    <n v="1"/>
    <x v="8"/>
    <n v="2"/>
    <x v="0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  <x v="0"/>
    <x v="2"/>
    <x v="2"/>
  </r>
  <r>
    <x v="12"/>
    <x v="0"/>
    <s v="Travel_Frequently"/>
    <n v="523"/>
    <x v="1"/>
    <n v="2"/>
    <x v="3"/>
    <s v="Life Sciences"/>
    <n v="1"/>
    <n v="1464"/>
    <n v="2"/>
    <x v="1"/>
    <n v="94"/>
    <n v="3"/>
    <n v="1"/>
    <x v="2"/>
    <n v="4"/>
    <x v="1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  <x v="1"/>
    <x v="0"/>
    <x v="1"/>
  </r>
  <r>
    <x v="28"/>
    <x v="1"/>
    <s v="Travel_Rarely"/>
    <n v="1448"/>
    <x v="1"/>
    <n v="29"/>
    <x v="3"/>
    <s v="Technical Degree"/>
    <n v="1"/>
    <n v="1465"/>
    <n v="2"/>
    <x v="1"/>
    <n v="55"/>
    <n v="3"/>
    <n v="3"/>
    <x v="3"/>
    <n v="4"/>
    <x v="1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  <x v="1"/>
    <x v="4"/>
    <x v="1"/>
  </r>
  <r>
    <x v="26"/>
    <x v="1"/>
    <s v="Travel_Rarely"/>
    <n v="1221"/>
    <x v="0"/>
    <n v="7"/>
    <x v="3"/>
    <s v="Marketing"/>
    <n v="1"/>
    <n v="1466"/>
    <n v="3"/>
    <x v="1"/>
    <n v="96"/>
    <n v="3"/>
    <n v="2"/>
    <x v="0"/>
    <n v="1"/>
    <x v="2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  <x v="1"/>
    <x v="3"/>
    <x v="0"/>
  </r>
  <r>
    <x v="13"/>
    <x v="0"/>
    <s v="Travel_Rarely"/>
    <n v="1107"/>
    <x v="2"/>
    <n v="9"/>
    <x v="2"/>
    <s v="Technical Degree"/>
    <n v="1"/>
    <n v="1467"/>
    <n v="1"/>
    <x v="0"/>
    <n v="52"/>
    <n v="3"/>
    <n v="1"/>
    <x v="8"/>
    <n v="3"/>
    <x v="1"/>
    <n v="2742"/>
    <n v="3072"/>
    <n v="1"/>
    <s v="Y"/>
    <s v="No"/>
    <n v="15"/>
    <n v="3"/>
    <n v="4"/>
    <n v="80"/>
    <n v="0"/>
    <n v="2"/>
    <n v="0"/>
    <n v="3"/>
    <n v="2"/>
    <n v="2"/>
    <n v="2"/>
    <n v="2"/>
    <m/>
    <x v="0"/>
    <x v="4"/>
    <x v="2"/>
  </r>
  <r>
    <x v="32"/>
    <x v="1"/>
    <s v="Non-Travel"/>
    <n v="218"/>
    <x v="1"/>
    <n v="8"/>
    <x v="1"/>
    <s v="Medical"/>
    <n v="1"/>
    <n v="1468"/>
    <n v="4"/>
    <x v="1"/>
    <n v="55"/>
    <n v="2"/>
    <n v="3"/>
    <x v="7"/>
    <n v="2"/>
    <x v="2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  <x v="1"/>
    <x v="2"/>
    <x v="1"/>
  </r>
  <r>
    <x v="14"/>
    <x v="1"/>
    <s v="Travel_Rarely"/>
    <n v="866"/>
    <x v="0"/>
    <n v="5"/>
    <x v="3"/>
    <s v="Medical"/>
    <n v="1"/>
    <n v="1469"/>
    <n v="4"/>
    <x v="1"/>
    <n v="84"/>
    <n v="3"/>
    <n v="2"/>
    <x v="0"/>
    <n v="1"/>
    <x v="0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  <x v="1"/>
    <x v="2"/>
    <x v="0"/>
  </r>
  <r>
    <x v="20"/>
    <x v="1"/>
    <s v="Non-Travel"/>
    <n v="981"/>
    <x v="1"/>
    <n v="5"/>
    <x v="3"/>
    <s v="Life Sciences"/>
    <n v="1"/>
    <n v="1471"/>
    <n v="3"/>
    <x v="1"/>
    <n v="90"/>
    <n v="2"/>
    <n v="1"/>
    <x v="2"/>
    <n v="3"/>
    <x v="0"/>
    <n v="3162"/>
    <n v="7973"/>
    <n v="3"/>
    <s v="Y"/>
    <s v="No"/>
    <n v="14"/>
    <n v="3"/>
    <n v="4"/>
    <n v="80"/>
    <n v="0"/>
    <n v="7"/>
    <n v="5"/>
    <n v="3"/>
    <n v="5"/>
    <n v="2"/>
    <n v="0"/>
    <n v="3"/>
    <m/>
    <x v="1"/>
    <x v="0"/>
    <x v="1"/>
  </r>
  <r>
    <x v="16"/>
    <x v="1"/>
    <s v="Travel_Rarely"/>
    <n v="447"/>
    <x v="1"/>
    <n v="2"/>
    <x v="3"/>
    <s v="Medical"/>
    <n v="1"/>
    <n v="1472"/>
    <n v="4"/>
    <x v="1"/>
    <n v="39"/>
    <n v="4"/>
    <n v="4"/>
    <x v="7"/>
    <n v="2"/>
    <x v="0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  <x v="1"/>
    <x v="2"/>
    <x v="1"/>
  </r>
  <r>
    <x v="1"/>
    <x v="1"/>
    <s v="Travel_Rarely"/>
    <n v="1495"/>
    <x v="1"/>
    <n v="5"/>
    <x v="2"/>
    <s v="Technical Degree"/>
    <n v="1"/>
    <n v="1473"/>
    <n v="1"/>
    <x v="1"/>
    <n v="96"/>
    <n v="3"/>
    <n v="2"/>
    <x v="4"/>
    <n v="3"/>
    <x v="1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  <x v="1"/>
    <x v="4"/>
    <x v="1"/>
  </r>
  <r>
    <x v="32"/>
    <x v="1"/>
    <s v="Travel_Rarely"/>
    <n v="896"/>
    <x v="1"/>
    <n v="2"/>
    <x v="3"/>
    <s v="Medical"/>
    <n v="1"/>
    <n v="1474"/>
    <n v="3"/>
    <x v="1"/>
    <n v="68"/>
    <n v="3"/>
    <n v="1"/>
    <x v="1"/>
    <n v="3"/>
    <x v="2"/>
    <n v="2345"/>
    <n v="8045"/>
    <n v="2"/>
    <s v="Y"/>
    <s v="No"/>
    <n v="14"/>
    <n v="3"/>
    <n v="3"/>
    <n v="80"/>
    <n v="1"/>
    <n v="8"/>
    <n v="3"/>
    <n v="4"/>
    <n v="3"/>
    <n v="1"/>
    <n v="1"/>
    <n v="2"/>
    <m/>
    <x v="1"/>
    <x v="2"/>
    <x v="1"/>
  </r>
  <r>
    <x v="20"/>
    <x v="1"/>
    <s v="Travel_Rarely"/>
    <n v="1467"/>
    <x v="1"/>
    <n v="20"/>
    <x v="3"/>
    <s v="Life Sciences"/>
    <n v="1"/>
    <n v="1475"/>
    <n v="4"/>
    <x v="1"/>
    <n v="49"/>
    <n v="3"/>
    <n v="1"/>
    <x v="1"/>
    <n v="2"/>
    <x v="0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  <x v="1"/>
    <x v="0"/>
    <x v="1"/>
  </r>
  <r>
    <x v="3"/>
    <x v="1"/>
    <s v="Travel_Frequently"/>
    <n v="430"/>
    <x v="0"/>
    <n v="7"/>
    <x v="3"/>
    <s v="Medical"/>
    <n v="1"/>
    <n v="1477"/>
    <n v="4"/>
    <x v="1"/>
    <n v="54"/>
    <n v="3"/>
    <n v="2"/>
    <x v="0"/>
    <n v="1"/>
    <x v="1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  <x v="1"/>
    <x v="2"/>
    <x v="0"/>
  </r>
  <r>
    <x v="13"/>
    <x v="1"/>
    <s v="Travel_Rarely"/>
    <n v="1326"/>
    <x v="0"/>
    <n v="3"/>
    <x v="3"/>
    <s v="Other"/>
    <n v="1"/>
    <n v="1478"/>
    <n v="4"/>
    <x v="1"/>
    <n v="81"/>
    <n v="1"/>
    <n v="2"/>
    <x v="0"/>
    <n v="1"/>
    <x v="0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  <x v="1"/>
    <x v="1"/>
    <x v="0"/>
  </r>
  <r>
    <x v="7"/>
    <x v="1"/>
    <s v="Travel_Rarely"/>
    <n v="1358"/>
    <x v="0"/>
    <n v="16"/>
    <x v="1"/>
    <s v="Life Sciences"/>
    <n v="1"/>
    <n v="1479"/>
    <n v="4"/>
    <x v="1"/>
    <n v="96"/>
    <n v="3"/>
    <n v="2"/>
    <x v="0"/>
    <n v="3"/>
    <x v="1"/>
    <n v="5301"/>
    <n v="2939"/>
    <n v="8"/>
    <s v="Y"/>
    <s v="No"/>
    <n v="15"/>
    <n v="3"/>
    <n v="3"/>
    <n v="80"/>
    <n v="2"/>
    <n v="4"/>
    <n v="2"/>
    <n v="2"/>
    <n v="2"/>
    <n v="1"/>
    <n v="2"/>
    <n v="2"/>
    <m/>
    <x v="1"/>
    <x v="0"/>
    <x v="0"/>
  </r>
  <r>
    <x v="19"/>
    <x v="1"/>
    <s v="Travel_Frequently"/>
    <n v="748"/>
    <x v="1"/>
    <n v="9"/>
    <x v="0"/>
    <s v="Medical"/>
    <n v="1"/>
    <n v="1480"/>
    <n v="1"/>
    <x v="0"/>
    <n v="74"/>
    <n v="3"/>
    <n v="1"/>
    <x v="2"/>
    <n v="4"/>
    <x v="0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  <x v="0"/>
    <x v="2"/>
    <x v="1"/>
  </r>
  <r>
    <x v="20"/>
    <x v="1"/>
    <s v="Travel_Frequently"/>
    <n v="383"/>
    <x v="0"/>
    <n v="1"/>
    <x v="4"/>
    <s v="Marketing"/>
    <n v="1"/>
    <n v="1481"/>
    <n v="1"/>
    <x v="0"/>
    <n v="79"/>
    <n v="3"/>
    <n v="2"/>
    <x v="0"/>
    <n v="3"/>
    <x v="1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  <x v="0"/>
    <x v="3"/>
    <x v="0"/>
  </r>
  <r>
    <x v="7"/>
    <x v="1"/>
    <s v="Non-Travel"/>
    <n v="990"/>
    <x v="1"/>
    <n v="7"/>
    <x v="3"/>
    <s v="Technical Degree"/>
    <n v="1"/>
    <n v="1482"/>
    <n v="3"/>
    <x v="1"/>
    <n v="64"/>
    <n v="3"/>
    <n v="1"/>
    <x v="1"/>
    <n v="3"/>
    <x v="2"/>
    <n v="1274"/>
    <n v="7152"/>
    <n v="1"/>
    <s v="Y"/>
    <s v="No"/>
    <n v="13"/>
    <n v="3"/>
    <n v="2"/>
    <n v="80"/>
    <n v="2"/>
    <n v="1"/>
    <n v="2"/>
    <n v="2"/>
    <n v="1"/>
    <n v="0"/>
    <n v="0"/>
    <n v="0"/>
    <m/>
    <x v="1"/>
    <x v="4"/>
    <x v="1"/>
  </r>
  <r>
    <x v="38"/>
    <x v="1"/>
    <s v="Travel_Rarely"/>
    <n v="405"/>
    <x v="1"/>
    <n v="1"/>
    <x v="0"/>
    <s v="Life Sciences"/>
    <n v="1"/>
    <n v="1483"/>
    <n v="2"/>
    <x v="1"/>
    <n v="93"/>
    <n v="4"/>
    <n v="2"/>
    <x v="1"/>
    <n v="3"/>
    <x v="1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  <x v="1"/>
    <x v="0"/>
    <x v="1"/>
  </r>
  <r>
    <x v="1"/>
    <x v="1"/>
    <s v="Travel_Rarely"/>
    <n v="1490"/>
    <x v="1"/>
    <n v="7"/>
    <x v="2"/>
    <s v="Life Sciences"/>
    <n v="1"/>
    <n v="1484"/>
    <n v="3"/>
    <x v="1"/>
    <n v="35"/>
    <n v="3"/>
    <n v="3"/>
    <x v="4"/>
    <n v="2"/>
    <x v="2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  <x v="1"/>
    <x v="0"/>
    <x v="1"/>
  </r>
  <r>
    <x v="13"/>
    <x v="1"/>
    <s v="Travel_Frequently"/>
    <n v="829"/>
    <x v="1"/>
    <n v="15"/>
    <x v="3"/>
    <s v="Medical"/>
    <n v="1"/>
    <n v="1485"/>
    <n v="2"/>
    <x v="1"/>
    <n v="71"/>
    <n v="3"/>
    <n v="4"/>
    <x v="7"/>
    <n v="1"/>
    <x v="2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  <x v="1"/>
    <x v="2"/>
    <x v="1"/>
  </r>
  <r>
    <x v="14"/>
    <x v="0"/>
    <s v="Travel_Frequently"/>
    <n v="1496"/>
    <x v="0"/>
    <n v="1"/>
    <x v="3"/>
    <s v="Technical Degree"/>
    <n v="1"/>
    <n v="1486"/>
    <n v="1"/>
    <x v="1"/>
    <n v="92"/>
    <n v="3"/>
    <n v="1"/>
    <x v="6"/>
    <n v="3"/>
    <x v="1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  <x v="1"/>
    <x v="4"/>
    <x v="0"/>
  </r>
  <r>
    <x v="11"/>
    <x v="0"/>
    <s v="Travel_Frequently"/>
    <n v="115"/>
    <x v="0"/>
    <n v="13"/>
    <x v="3"/>
    <s v="Technical Degree"/>
    <n v="1"/>
    <n v="1487"/>
    <n v="1"/>
    <x v="0"/>
    <n v="51"/>
    <n v="3"/>
    <n v="2"/>
    <x v="0"/>
    <n v="2"/>
    <x v="0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  <x v="0"/>
    <x v="4"/>
    <x v="0"/>
  </r>
  <r>
    <x v="13"/>
    <x v="0"/>
    <s v="Travel_Rarely"/>
    <n v="790"/>
    <x v="0"/>
    <n v="24"/>
    <x v="2"/>
    <s v="Medical"/>
    <n v="1"/>
    <n v="1489"/>
    <n v="1"/>
    <x v="0"/>
    <n v="40"/>
    <n v="2"/>
    <n v="2"/>
    <x v="0"/>
    <n v="2"/>
    <x v="0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  <x v="0"/>
    <x v="2"/>
    <x v="0"/>
  </r>
  <r>
    <x v="10"/>
    <x v="1"/>
    <s v="Travel_Rarely"/>
    <n v="660"/>
    <x v="0"/>
    <n v="7"/>
    <x v="1"/>
    <s v="Life Sciences"/>
    <n v="1"/>
    <n v="1492"/>
    <n v="4"/>
    <x v="1"/>
    <n v="76"/>
    <n v="3"/>
    <n v="1"/>
    <x v="6"/>
    <n v="3"/>
    <x v="1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  <x v="1"/>
    <x v="0"/>
    <x v="0"/>
  </r>
  <r>
    <x v="17"/>
    <x v="0"/>
    <s v="Travel_Frequently"/>
    <n v="381"/>
    <x v="1"/>
    <n v="9"/>
    <x v="3"/>
    <s v="Medical"/>
    <n v="1"/>
    <n v="1494"/>
    <n v="2"/>
    <x v="1"/>
    <n v="89"/>
    <n v="3"/>
    <n v="1"/>
    <x v="2"/>
    <n v="1"/>
    <x v="0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  <x v="1"/>
    <x v="2"/>
    <x v="1"/>
  </r>
  <r>
    <x v="17"/>
    <x v="1"/>
    <s v="Non-Travel"/>
    <n v="830"/>
    <x v="0"/>
    <n v="13"/>
    <x v="0"/>
    <s v="Life Sciences"/>
    <n v="1"/>
    <n v="1495"/>
    <n v="4"/>
    <x v="0"/>
    <n v="78"/>
    <n v="3"/>
    <n v="1"/>
    <x v="6"/>
    <n v="2"/>
    <x v="1"/>
    <n v="2033"/>
    <n v="7103"/>
    <n v="1"/>
    <s v="Y"/>
    <s v="No"/>
    <n v="13"/>
    <n v="3"/>
    <n v="3"/>
    <n v="80"/>
    <n v="1"/>
    <n v="1"/>
    <n v="2"/>
    <n v="3"/>
    <n v="1"/>
    <n v="0"/>
    <n v="0"/>
    <n v="0"/>
    <m/>
    <x v="0"/>
    <x v="0"/>
    <x v="0"/>
  </r>
  <r>
    <x v="20"/>
    <x v="1"/>
    <s v="Travel_Frequently"/>
    <n v="1193"/>
    <x v="1"/>
    <n v="2"/>
    <x v="1"/>
    <s v="Medical"/>
    <n v="1"/>
    <n v="1496"/>
    <n v="2"/>
    <x v="1"/>
    <n v="86"/>
    <n v="3"/>
    <n v="3"/>
    <x v="3"/>
    <n v="3"/>
    <x v="0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  <x v="1"/>
    <x v="2"/>
    <x v="1"/>
  </r>
  <r>
    <x v="11"/>
    <x v="1"/>
    <s v="Travel_Rarely"/>
    <n v="1246"/>
    <x v="0"/>
    <n v="19"/>
    <x v="3"/>
    <s v="Life Sciences"/>
    <n v="1"/>
    <n v="1497"/>
    <n v="3"/>
    <x v="1"/>
    <n v="77"/>
    <n v="2"/>
    <n v="2"/>
    <x v="0"/>
    <n v="3"/>
    <x v="2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  <x v="1"/>
    <x v="0"/>
    <x v="0"/>
  </r>
  <r>
    <x v="7"/>
    <x v="1"/>
    <s v="Travel_Rarely"/>
    <n v="330"/>
    <x v="2"/>
    <n v="1"/>
    <x v="3"/>
    <s v="Life Sciences"/>
    <n v="1"/>
    <n v="1499"/>
    <n v="3"/>
    <x v="1"/>
    <n v="46"/>
    <n v="3"/>
    <n v="1"/>
    <x v="8"/>
    <n v="3"/>
    <x v="2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  <x v="1"/>
    <x v="0"/>
    <x v="2"/>
  </r>
  <r>
    <x v="27"/>
    <x v="1"/>
    <s v="Travel_Rarely"/>
    <n v="1229"/>
    <x v="1"/>
    <n v="4"/>
    <x v="2"/>
    <s v="Life Sciences"/>
    <n v="1"/>
    <n v="1501"/>
    <n v="4"/>
    <x v="1"/>
    <n v="30"/>
    <n v="3"/>
    <n v="2"/>
    <x v="4"/>
    <n v="3"/>
    <x v="1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  <x v="1"/>
    <x v="0"/>
    <x v="1"/>
  </r>
  <r>
    <x v="3"/>
    <x v="1"/>
    <s v="Travel_Rarely"/>
    <n v="1099"/>
    <x v="1"/>
    <n v="4"/>
    <x v="2"/>
    <s v="Medical"/>
    <n v="1"/>
    <n v="1502"/>
    <n v="1"/>
    <x v="0"/>
    <n v="82"/>
    <n v="2"/>
    <n v="1"/>
    <x v="2"/>
    <n v="2"/>
    <x v="1"/>
    <n v="3838"/>
    <n v="8192"/>
    <n v="8"/>
    <s v="Y"/>
    <s v="No"/>
    <n v="11"/>
    <n v="3"/>
    <n v="4"/>
    <n v="80"/>
    <n v="0"/>
    <n v="8"/>
    <n v="5"/>
    <n v="3"/>
    <n v="5"/>
    <n v="4"/>
    <n v="0"/>
    <n v="2"/>
    <m/>
    <x v="0"/>
    <x v="2"/>
    <x v="1"/>
  </r>
  <r>
    <x v="40"/>
    <x v="1"/>
    <s v="Travel_Rarely"/>
    <n v="571"/>
    <x v="0"/>
    <n v="14"/>
    <x v="3"/>
    <s v="Medical"/>
    <n v="1"/>
    <n v="1503"/>
    <n v="3"/>
    <x v="0"/>
    <n v="78"/>
    <n v="3"/>
    <n v="2"/>
    <x v="0"/>
    <n v="3"/>
    <x v="1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  <x v="0"/>
    <x v="2"/>
    <x v="0"/>
  </r>
  <r>
    <x v="14"/>
    <x v="0"/>
    <s v="Travel_Frequently"/>
    <n v="289"/>
    <x v="1"/>
    <n v="2"/>
    <x v="0"/>
    <s v="Medical"/>
    <n v="1"/>
    <n v="1504"/>
    <n v="3"/>
    <x v="1"/>
    <n v="38"/>
    <n v="2"/>
    <n v="1"/>
    <x v="2"/>
    <n v="1"/>
    <x v="0"/>
    <n v="2561"/>
    <n v="5355"/>
    <n v="7"/>
    <s v="Y"/>
    <s v="No"/>
    <n v="11"/>
    <n v="3"/>
    <n v="3"/>
    <n v="80"/>
    <n v="0"/>
    <n v="8"/>
    <n v="2"/>
    <n v="2"/>
    <n v="0"/>
    <n v="0"/>
    <n v="0"/>
    <n v="0"/>
    <m/>
    <x v="1"/>
    <x v="2"/>
    <x v="1"/>
  </r>
  <r>
    <x v="14"/>
    <x v="1"/>
    <s v="Travel_Rarely"/>
    <n v="1423"/>
    <x v="1"/>
    <n v="1"/>
    <x v="3"/>
    <s v="Life Sciences"/>
    <n v="1"/>
    <n v="1506"/>
    <n v="1"/>
    <x v="1"/>
    <n v="72"/>
    <n v="2"/>
    <n v="1"/>
    <x v="1"/>
    <n v="3"/>
    <x v="2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  <x v="1"/>
    <x v="0"/>
    <x v="1"/>
  </r>
  <r>
    <x v="14"/>
    <x v="1"/>
    <s v="Travel_Frequently"/>
    <n v="467"/>
    <x v="0"/>
    <n v="7"/>
    <x v="3"/>
    <s v="Life Sciences"/>
    <n v="1"/>
    <n v="1507"/>
    <n v="3"/>
    <x v="1"/>
    <n v="55"/>
    <n v="3"/>
    <n v="2"/>
    <x v="0"/>
    <n v="1"/>
    <x v="0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  <x v="1"/>
    <x v="0"/>
    <x v="0"/>
  </r>
  <r>
    <x v="1"/>
    <x v="1"/>
    <s v="Travel_Rarely"/>
    <n v="271"/>
    <x v="1"/>
    <n v="3"/>
    <x v="0"/>
    <s v="Medical"/>
    <n v="1"/>
    <n v="1509"/>
    <n v="3"/>
    <x v="0"/>
    <n v="43"/>
    <n v="2"/>
    <n v="2"/>
    <x v="2"/>
    <n v="1"/>
    <x v="1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  <x v="0"/>
    <x v="2"/>
    <x v="1"/>
  </r>
  <r>
    <x v="11"/>
    <x v="1"/>
    <s v="Travel_Frequently"/>
    <n v="410"/>
    <x v="1"/>
    <n v="2"/>
    <x v="1"/>
    <s v="Life Sciences"/>
    <n v="1"/>
    <n v="1513"/>
    <n v="4"/>
    <x v="0"/>
    <n v="97"/>
    <n v="3"/>
    <n v="1"/>
    <x v="2"/>
    <n v="2"/>
    <x v="1"/>
    <n v="3180"/>
    <n v="4668"/>
    <n v="0"/>
    <s v="Y"/>
    <s v="No"/>
    <n v="13"/>
    <n v="3"/>
    <n v="3"/>
    <n v="80"/>
    <n v="3"/>
    <n v="4"/>
    <n v="3"/>
    <n v="3"/>
    <n v="3"/>
    <n v="2"/>
    <n v="0"/>
    <n v="2"/>
    <m/>
    <x v="0"/>
    <x v="0"/>
    <x v="1"/>
  </r>
  <r>
    <x v="14"/>
    <x v="1"/>
    <s v="Travel_Rarely"/>
    <n v="1083"/>
    <x v="1"/>
    <n v="29"/>
    <x v="1"/>
    <s v="Life Sciences"/>
    <n v="1"/>
    <n v="1514"/>
    <n v="3"/>
    <x v="1"/>
    <n v="96"/>
    <n v="1"/>
    <n v="2"/>
    <x v="3"/>
    <n v="2"/>
    <x v="1"/>
    <n v="6549"/>
    <n v="3173"/>
    <n v="1"/>
    <s v="Y"/>
    <s v="No"/>
    <n v="14"/>
    <n v="3"/>
    <n v="2"/>
    <n v="80"/>
    <n v="2"/>
    <n v="8"/>
    <n v="2"/>
    <n v="2"/>
    <n v="8"/>
    <n v="6"/>
    <n v="1"/>
    <n v="7"/>
    <m/>
    <x v="1"/>
    <x v="0"/>
    <x v="1"/>
  </r>
  <r>
    <x v="3"/>
    <x v="1"/>
    <s v="Travel_Rarely"/>
    <n v="516"/>
    <x v="1"/>
    <n v="8"/>
    <x v="4"/>
    <s v="Life Sciences"/>
    <n v="1"/>
    <n v="1515"/>
    <n v="4"/>
    <x v="1"/>
    <n v="69"/>
    <n v="3"/>
    <n v="2"/>
    <x v="4"/>
    <n v="3"/>
    <x v="0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  <x v="1"/>
    <x v="0"/>
    <x v="1"/>
  </r>
  <r>
    <x v="5"/>
    <x v="1"/>
    <s v="Travel_Rarely"/>
    <n v="495"/>
    <x v="1"/>
    <n v="10"/>
    <x v="3"/>
    <s v="Medical"/>
    <n v="1"/>
    <n v="1516"/>
    <n v="3"/>
    <x v="1"/>
    <n v="64"/>
    <n v="3"/>
    <n v="3"/>
    <x v="5"/>
    <n v="4"/>
    <x v="0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  <x v="1"/>
    <x v="2"/>
    <x v="1"/>
  </r>
  <r>
    <x v="33"/>
    <x v="1"/>
    <s v="Travel_Frequently"/>
    <n v="1050"/>
    <x v="1"/>
    <n v="11"/>
    <x v="2"/>
    <s v="Medical"/>
    <n v="1"/>
    <n v="1520"/>
    <n v="2"/>
    <x v="0"/>
    <n v="87"/>
    <n v="3"/>
    <n v="4"/>
    <x v="5"/>
    <n v="4"/>
    <x v="2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  <x v="0"/>
    <x v="2"/>
    <x v="1"/>
  </r>
  <r>
    <x v="11"/>
    <x v="0"/>
    <s v="Travel_Rarely"/>
    <n v="224"/>
    <x v="1"/>
    <n v="1"/>
    <x v="2"/>
    <s v="Technical Degree"/>
    <n v="1"/>
    <n v="1522"/>
    <n v="1"/>
    <x v="1"/>
    <n v="100"/>
    <n v="2"/>
    <n v="1"/>
    <x v="1"/>
    <n v="1"/>
    <x v="0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  <x v="1"/>
    <x v="4"/>
    <x v="1"/>
  </r>
  <r>
    <x v="20"/>
    <x v="1"/>
    <s v="Travel_Rarely"/>
    <n v="136"/>
    <x v="1"/>
    <n v="28"/>
    <x v="3"/>
    <s v="Life Sciences"/>
    <n v="1"/>
    <n v="1523"/>
    <n v="4"/>
    <x v="1"/>
    <n v="32"/>
    <n v="3"/>
    <n v="4"/>
    <x v="7"/>
    <n v="1"/>
    <x v="1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  <x v="1"/>
    <x v="0"/>
    <x v="1"/>
  </r>
  <r>
    <x v="22"/>
    <x v="1"/>
    <s v="Travel_Rarely"/>
    <n v="1089"/>
    <x v="1"/>
    <n v="6"/>
    <x v="3"/>
    <s v="Life Sciences"/>
    <n v="1"/>
    <n v="1525"/>
    <n v="2"/>
    <x v="0"/>
    <n v="32"/>
    <n v="3"/>
    <n v="3"/>
    <x v="3"/>
    <n v="2"/>
    <x v="0"/>
    <n v="8376"/>
    <n v="9150"/>
    <n v="4"/>
    <s v="Y"/>
    <s v="No"/>
    <n v="18"/>
    <n v="3"/>
    <n v="4"/>
    <n v="80"/>
    <n v="0"/>
    <n v="9"/>
    <n v="3"/>
    <n v="3"/>
    <n v="2"/>
    <n v="0"/>
    <n v="2"/>
    <n v="2"/>
    <m/>
    <x v="0"/>
    <x v="0"/>
    <x v="1"/>
  </r>
  <r>
    <x v="21"/>
    <x v="1"/>
    <s v="Travel_Rarely"/>
    <n v="228"/>
    <x v="0"/>
    <n v="3"/>
    <x v="3"/>
    <s v="Life Sciences"/>
    <n v="1"/>
    <n v="1527"/>
    <n v="3"/>
    <x v="0"/>
    <n v="51"/>
    <n v="3"/>
    <n v="4"/>
    <x v="5"/>
    <n v="2"/>
    <x v="1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  <x v="0"/>
    <x v="0"/>
    <x v="0"/>
  </r>
  <r>
    <x v="10"/>
    <x v="1"/>
    <s v="Travel_Rarely"/>
    <n v="1029"/>
    <x v="1"/>
    <n v="16"/>
    <x v="3"/>
    <s v="Life Sciences"/>
    <n v="1"/>
    <n v="1529"/>
    <n v="4"/>
    <x v="0"/>
    <n v="91"/>
    <n v="2"/>
    <n v="3"/>
    <x v="4"/>
    <n v="2"/>
    <x v="0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  <x v="0"/>
    <x v="0"/>
    <x v="1"/>
  </r>
  <r>
    <x v="30"/>
    <x v="1"/>
    <s v="Travel_Rarely"/>
    <n v="507"/>
    <x v="1"/>
    <n v="20"/>
    <x v="1"/>
    <s v="Life Sciences"/>
    <n v="1"/>
    <n v="1533"/>
    <n v="1"/>
    <x v="1"/>
    <n v="97"/>
    <n v="3"/>
    <n v="2"/>
    <x v="2"/>
    <n v="3"/>
    <x v="0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  <x v="1"/>
    <x v="0"/>
    <x v="1"/>
  </r>
  <r>
    <x v="32"/>
    <x v="0"/>
    <s v="Travel_Rarely"/>
    <n v="676"/>
    <x v="1"/>
    <n v="9"/>
    <x v="2"/>
    <s v="Life Sciences"/>
    <n v="1"/>
    <n v="1534"/>
    <n v="4"/>
    <x v="1"/>
    <n v="86"/>
    <n v="3"/>
    <n v="1"/>
    <x v="2"/>
    <n v="1"/>
    <x v="0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  <x v="1"/>
    <x v="0"/>
    <x v="1"/>
  </r>
  <r>
    <x v="13"/>
    <x v="1"/>
    <s v="Travel_Rarely"/>
    <n v="971"/>
    <x v="0"/>
    <n v="1"/>
    <x v="3"/>
    <s v="Technical Degree"/>
    <n v="1"/>
    <n v="1535"/>
    <n v="4"/>
    <x v="1"/>
    <n v="64"/>
    <n v="2"/>
    <n v="3"/>
    <x v="0"/>
    <n v="3"/>
    <x v="1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  <x v="1"/>
    <x v="4"/>
    <x v="0"/>
  </r>
  <r>
    <x v="12"/>
    <x v="0"/>
    <s v="Travel_Frequently"/>
    <n v="561"/>
    <x v="1"/>
    <n v="3"/>
    <x v="3"/>
    <s v="Life Sciences"/>
    <n v="1"/>
    <n v="1537"/>
    <n v="4"/>
    <x v="0"/>
    <n v="33"/>
    <n v="3"/>
    <n v="1"/>
    <x v="1"/>
    <n v="3"/>
    <x v="0"/>
    <n v="4084"/>
    <n v="4156"/>
    <n v="1"/>
    <s v="Y"/>
    <s v="No"/>
    <n v="12"/>
    <n v="3"/>
    <n v="1"/>
    <n v="80"/>
    <n v="0"/>
    <n v="7"/>
    <n v="2"/>
    <n v="1"/>
    <n v="7"/>
    <n v="2"/>
    <n v="7"/>
    <n v="7"/>
    <m/>
    <x v="0"/>
    <x v="0"/>
    <x v="1"/>
  </r>
  <r>
    <x v="24"/>
    <x v="1"/>
    <s v="Travel_Frequently"/>
    <n v="333"/>
    <x v="1"/>
    <n v="22"/>
    <x v="4"/>
    <s v="Medical"/>
    <n v="1"/>
    <n v="1539"/>
    <n v="3"/>
    <x v="1"/>
    <n v="88"/>
    <n v="1"/>
    <n v="4"/>
    <x v="7"/>
    <n v="4"/>
    <x v="0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  <x v="1"/>
    <x v="2"/>
    <x v="1"/>
  </r>
  <r>
    <x v="13"/>
    <x v="1"/>
    <s v="Travel_Rarely"/>
    <n v="1440"/>
    <x v="0"/>
    <n v="7"/>
    <x v="0"/>
    <s v="Technical Degree"/>
    <n v="1"/>
    <n v="1541"/>
    <n v="2"/>
    <x v="1"/>
    <n v="55"/>
    <n v="3"/>
    <n v="1"/>
    <x v="6"/>
    <n v="3"/>
    <x v="1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  <x v="1"/>
    <x v="4"/>
    <x v="0"/>
  </r>
  <r>
    <x v="19"/>
    <x v="1"/>
    <s v="Travel_Rarely"/>
    <n v="1210"/>
    <x v="1"/>
    <n v="2"/>
    <x v="3"/>
    <s v="Medical"/>
    <n v="1"/>
    <n v="1542"/>
    <n v="3"/>
    <x v="1"/>
    <n v="68"/>
    <n v="2"/>
    <n v="1"/>
    <x v="2"/>
    <n v="2"/>
    <x v="1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  <x v="1"/>
    <x v="2"/>
    <x v="1"/>
  </r>
  <r>
    <x v="2"/>
    <x v="1"/>
    <s v="Travel_Rarely"/>
    <n v="674"/>
    <x v="1"/>
    <n v="13"/>
    <x v="3"/>
    <s v="Medical"/>
    <n v="1"/>
    <n v="1543"/>
    <n v="1"/>
    <x v="1"/>
    <n v="47"/>
    <n v="3"/>
    <n v="2"/>
    <x v="1"/>
    <n v="4"/>
    <x v="1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  <x v="1"/>
    <x v="2"/>
    <x v="1"/>
  </r>
  <r>
    <x v="11"/>
    <x v="1"/>
    <s v="Travel_Rarely"/>
    <n v="441"/>
    <x v="1"/>
    <n v="8"/>
    <x v="1"/>
    <s v="Other"/>
    <n v="1"/>
    <n v="1544"/>
    <n v="3"/>
    <x v="0"/>
    <n v="39"/>
    <n v="1"/>
    <n v="2"/>
    <x v="4"/>
    <n v="1"/>
    <x v="1"/>
    <n v="9715"/>
    <n v="7288"/>
    <n v="3"/>
    <s v="Y"/>
    <s v="No"/>
    <n v="13"/>
    <n v="3"/>
    <n v="3"/>
    <n v="80"/>
    <n v="1"/>
    <n v="9"/>
    <n v="3"/>
    <n v="3"/>
    <n v="7"/>
    <n v="7"/>
    <n v="0"/>
    <n v="7"/>
    <m/>
    <x v="0"/>
    <x v="1"/>
    <x v="1"/>
  </r>
  <r>
    <x v="3"/>
    <x v="1"/>
    <s v="Travel_Rarely"/>
    <n v="575"/>
    <x v="1"/>
    <n v="25"/>
    <x v="3"/>
    <s v="Life Sciences"/>
    <n v="1"/>
    <n v="1545"/>
    <n v="4"/>
    <x v="1"/>
    <n v="44"/>
    <n v="2"/>
    <n v="2"/>
    <x v="3"/>
    <n v="2"/>
    <x v="0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  <x v="1"/>
    <x v="0"/>
    <x v="1"/>
  </r>
  <r>
    <x v="28"/>
    <x v="1"/>
    <s v="Travel_Rarely"/>
    <n v="950"/>
    <x v="1"/>
    <n v="28"/>
    <x v="3"/>
    <s v="Technical Degree"/>
    <n v="1"/>
    <n v="1546"/>
    <n v="4"/>
    <x v="1"/>
    <n v="97"/>
    <n v="3"/>
    <n v="1"/>
    <x v="1"/>
    <n v="4"/>
    <x v="1"/>
    <n v="2132"/>
    <n v="4585"/>
    <n v="4"/>
    <s v="Y"/>
    <s v="No"/>
    <n v="20"/>
    <n v="4"/>
    <n v="4"/>
    <n v="80"/>
    <n v="1"/>
    <n v="8"/>
    <n v="3"/>
    <n v="3"/>
    <n v="5"/>
    <n v="4"/>
    <n v="0"/>
    <n v="3"/>
    <m/>
    <x v="1"/>
    <x v="4"/>
    <x v="1"/>
  </r>
  <r>
    <x v="19"/>
    <x v="1"/>
    <s v="Travel_Frequently"/>
    <n v="288"/>
    <x v="1"/>
    <n v="2"/>
    <x v="3"/>
    <s v="Life Sciences"/>
    <n v="1"/>
    <n v="1547"/>
    <n v="4"/>
    <x v="1"/>
    <n v="40"/>
    <n v="3"/>
    <n v="3"/>
    <x v="4"/>
    <n v="4"/>
    <x v="1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  <x v="1"/>
    <x v="0"/>
    <x v="1"/>
  </r>
  <r>
    <x v="32"/>
    <x v="1"/>
    <s v="Travel_Rarely"/>
    <n v="1342"/>
    <x v="0"/>
    <n v="9"/>
    <x v="0"/>
    <s v="Medical"/>
    <n v="1"/>
    <n v="1548"/>
    <n v="1"/>
    <x v="1"/>
    <n v="47"/>
    <n v="3"/>
    <n v="2"/>
    <x v="0"/>
    <n v="1"/>
    <x v="1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  <x v="1"/>
    <x v="2"/>
    <x v="0"/>
  </r>
  <r>
    <x v="3"/>
    <x v="1"/>
    <s v="Travel_Rarely"/>
    <n v="589"/>
    <x v="1"/>
    <n v="28"/>
    <x v="2"/>
    <s v="Life Sciences"/>
    <n v="1"/>
    <n v="1549"/>
    <n v="2"/>
    <x v="1"/>
    <n v="79"/>
    <n v="3"/>
    <n v="2"/>
    <x v="2"/>
    <n v="3"/>
    <x v="1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  <x v="1"/>
    <x v="0"/>
    <x v="1"/>
  </r>
  <r>
    <x v="32"/>
    <x v="1"/>
    <s v="Travel_Rarely"/>
    <n v="898"/>
    <x v="2"/>
    <n v="6"/>
    <x v="0"/>
    <s v="Medical"/>
    <n v="1"/>
    <n v="1550"/>
    <n v="3"/>
    <x v="1"/>
    <n v="38"/>
    <n v="3"/>
    <n v="4"/>
    <x v="5"/>
    <n v="4"/>
    <x v="0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  <x v="1"/>
    <x v="2"/>
    <x v="2"/>
  </r>
  <r>
    <x v="17"/>
    <x v="1"/>
    <s v="Travel_Rarely"/>
    <n v="350"/>
    <x v="1"/>
    <n v="21"/>
    <x v="0"/>
    <s v="Technical Degree"/>
    <n v="1"/>
    <n v="1551"/>
    <n v="3"/>
    <x v="1"/>
    <n v="57"/>
    <n v="2"/>
    <n v="1"/>
    <x v="2"/>
    <n v="1"/>
    <x v="2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  <x v="1"/>
    <x v="4"/>
    <x v="1"/>
  </r>
  <r>
    <x v="32"/>
    <x v="1"/>
    <s v="Non-Travel"/>
    <n v="1142"/>
    <x v="1"/>
    <n v="8"/>
    <x v="0"/>
    <s v="Life Sciences"/>
    <n v="1"/>
    <n v="1552"/>
    <n v="4"/>
    <x v="1"/>
    <n v="72"/>
    <n v="3"/>
    <n v="2"/>
    <x v="4"/>
    <n v="4"/>
    <x v="2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  <x v="1"/>
    <x v="0"/>
    <x v="1"/>
  </r>
  <r>
    <x v="28"/>
    <x v="1"/>
    <s v="Travel_Rarely"/>
    <n v="538"/>
    <x v="1"/>
    <n v="1"/>
    <x v="2"/>
    <s v="Technical Degree"/>
    <n v="1"/>
    <n v="1553"/>
    <n v="1"/>
    <x v="1"/>
    <n v="66"/>
    <n v="3"/>
    <n v="3"/>
    <x v="4"/>
    <n v="2"/>
    <x v="2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  <x v="1"/>
    <x v="4"/>
    <x v="1"/>
  </r>
  <r>
    <x v="10"/>
    <x v="1"/>
    <s v="Travel_Rarely"/>
    <n v="1402"/>
    <x v="0"/>
    <n v="28"/>
    <x v="2"/>
    <s v="Life Sciences"/>
    <n v="1"/>
    <n v="1554"/>
    <n v="2"/>
    <x v="0"/>
    <n v="98"/>
    <n v="2"/>
    <n v="1"/>
    <x v="6"/>
    <n v="3"/>
    <x v="1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  <x v="0"/>
    <x v="0"/>
    <x v="0"/>
  </r>
  <r>
    <x v="5"/>
    <x v="1"/>
    <s v="Travel_Rarely"/>
    <n v="824"/>
    <x v="1"/>
    <n v="5"/>
    <x v="0"/>
    <s v="Life Sciences"/>
    <n v="1"/>
    <n v="1555"/>
    <n v="4"/>
    <x v="0"/>
    <n v="67"/>
    <n v="2"/>
    <n v="2"/>
    <x v="1"/>
    <n v="2"/>
    <x v="1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  <x v="0"/>
    <x v="0"/>
    <x v="1"/>
  </r>
  <r>
    <x v="9"/>
    <x v="1"/>
    <s v="Travel_Rarely"/>
    <n v="1157"/>
    <x v="0"/>
    <n v="2"/>
    <x v="2"/>
    <s v="Life Sciences"/>
    <n v="1"/>
    <n v="1556"/>
    <n v="3"/>
    <x v="1"/>
    <n v="70"/>
    <n v="3"/>
    <n v="1"/>
    <x v="6"/>
    <n v="4"/>
    <x v="0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  <x v="1"/>
    <x v="0"/>
    <x v="0"/>
  </r>
  <r>
    <x v="26"/>
    <x v="1"/>
    <s v="Travel_Rarely"/>
    <n v="492"/>
    <x v="0"/>
    <n v="16"/>
    <x v="2"/>
    <s v="Life Sciences"/>
    <n v="1"/>
    <n v="1557"/>
    <n v="3"/>
    <x v="0"/>
    <n v="96"/>
    <n v="3"/>
    <n v="2"/>
    <x v="0"/>
    <n v="3"/>
    <x v="2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  <x v="0"/>
    <x v="0"/>
    <x v="0"/>
  </r>
  <r>
    <x v="11"/>
    <x v="1"/>
    <s v="Travel_Rarely"/>
    <n v="598"/>
    <x v="1"/>
    <n v="9"/>
    <x v="3"/>
    <s v="Life Sciences"/>
    <n v="1"/>
    <n v="1558"/>
    <n v="3"/>
    <x v="1"/>
    <n v="91"/>
    <n v="4"/>
    <n v="1"/>
    <x v="1"/>
    <n v="3"/>
    <x v="1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  <x v="1"/>
    <x v="0"/>
    <x v="1"/>
  </r>
  <r>
    <x v="3"/>
    <x v="1"/>
    <s v="Travel_Rarely"/>
    <n v="1242"/>
    <x v="0"/>
    <n v="8"/>
    <x v="2"/>
    <s v="Life Sciences"/>
    <n v="1"/>
    <n v="1560"/>
    <n v="1"/>
    <x v="1"/>
    <n v="46"/>
    <n v="3"/>
    <n v="2"/>
    <x v="0"/>
    <n v="1"/>
    <x v="1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  <x v="1"/>
    <x v="0"/>
    <x v="0"/>
  </r>
  <r>
    <x v="7"/>
    <x v="0"/>
    <s v="Travel_Rarely"/>
    <n v="740"/>
    <x v="0"/>
    <n v="1"/>
    <x v="3"/>
    <s v="Life Sciences"/>
    <n v="1"/>
    <n v="1562"/>
    <n v="2"/>
    <x v="1"/>
    <n v="64"/>
    <n v="2"/>
    <n v="2"/>
    <x v="0"/>
    <n v="1"/>
    <x v="1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  <x v="1"/>
    <x v="0"/>
    <x v="0"/>
  </r>
  <r>
    <x v="8"/>
    <x v="1"/>
    <s v="Travel_Frequently"/>
    <n v="888"/>
    <x v="2"/>
    <n v="10"/>
    <x v="2"/>
    <s v="Human Resources"/>
    <n v="1"/>
    <n v="1563"/>
    <n v="3"/>
    <x v="1"/>
    <n v="71"/>
    <n v="3"/>
    <n v="2"/>
    <x v="8"/>
    <n v="3"/>
    <x v="1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  <x v="1"/>
    <x v="5"/>
    <x v="2"/>
  </r>
  <r>
    <x v="10"/>
    <x v="1"/>
    <s v="Travel_Rarely"/>
    <n v="992"/>
    <x v="1"/>
    <n v="1"/>
    <x v="3"/>
    <s v="Medical"/>
    <n v="1"/>
    <n v="1564"/>
    <n v="4"/>
    <x v="1"/>
    <n v="68"/>
    <n v="2"/>
    <n v="1"/>
    <x v="2"/>
    <n v="1"/>
    <x v="0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  <x v="1"/>
    <x v="2"/>
    <x v="1"/>
  </r>
  <r>
    <x v="7"/>
    <x v="1"/>
    <s v="Travel_Rarely"/>
    <n v="1288"/>
    <x v="0"/>
    <n v="29"/>
    <x v="2"/>
    <s v="Technical Degree"/>
    <n v="1"/>
    <n v="1568"/>
    <n v="3"/>
    <x v="1"/>
    <n v="33"/>
    <n v="3"/>
    <n v="3"/>
    <x v="0"/>
    <n v="2"/>
    <x v="1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  <x v="1"/>
    <x v="4"/>
    <x v="0"/>
  </r>
  <r>
    <x v="10"/>
    <x v="0"/>
    <s v="Travel_Rarely"/>
    <n v="104"/>
    <x v="1"/>
    <n v="2"/>
    <x v="3"/>
    <s v="Life Sciences"/>
    <n v="1"/>
    <n v="1569"/>
    <n v="1"/>
    <x v="0"/>
    <n v="69"/>
    <n v="3"/>
    <n v="1"/>
    <x v="2"/>
    <n v="1"/>
    <x v="2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  <x v="0"/>
    <x v="0"/>
    <x v="1"/>
  </r>
  <r>
    <x v="16"/>
    <x v="0"/>
    <s v="Travel_Rarely"/>
    <n v="607"/>
    <x v="1"/>
    <n v="2"/>
    <x v="4"/>
    <s v="Technical Degree"/>
    <n v="1"/>
    <n v="1572"/>
    <n v="3"/>
    <x v="0"/>
    <n v="78"/>
    <n v="2"/>
    <n v="3"/>
    <x v="3"/>
    <n v="4"/>
    <x v="1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  <x v="0"/>
    <x v="4"/>
    <x v="1"/>
  </r>
  <r>
    <x v="8"/>
    <x v="0"/>
    <s v="Travel_Rarely"/>
    <n v="903"/>
    <x v="1"/>
    <n v="2"/>
    <x v="3"/>
    <s v="Medical"/>
    <n v="1"/>
    <n v="1573"/>
    <n v="3"/>
    <x v="1"/>
    <n v="81"/>
    <n v="3"/>
    <n v="2"/>
    <x v="3"/>
    <n v="2"/>
    <x v="1"/>
    <n v="4855"/>
    <n v="7653"/>
    <n v="4"/>
    <s v="Y"/>
    <s v="No"/>
    <n v="11"/>
    <n v="3"/>
    <n v="1"/>
    <n v="80"/>
    <n v="2"/>
    <n v="7"/>
    <n v="2"/>
    <n v="3"/>
    <n v="5"/>
    <n v="2"/>
    <n v="1"/>
    <n v="4"/>
    <m/>
    <x v="1"/>
    <x v="2"/>
    <x v="1"/>
  </r>
  <r>
    <x v="5"/>
    <x v="1"/>
    <s v="Non-Travel"/>
    <n v="1200"/>
    <x v="1"/>
    <n v="1"/>
    <x v="2"/>
    <s v="Technical Degree"/>
    <n v="1"/>
    <n v="1574"/>
    <n v="4"/>
    <x v="1"/>
    <n v="62"/>
    <n v="3"/>
    <n v="2"/>
    <x v="1"/>
    <n v="1"/>
    <x v="1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  <x v="1"/>
    <x v="4"/>
    <x v="1"/>
  </r>
  <r>
    <x v="26"/>
    <x v="1"/>
    <s v="Travel_Rarely"/>
    <n v="1108"/>
    <x v="1"/>
    <n v="15"/>
    <x v="2"/>
    <s v="Other"/>
    <n v="1"/>
    <n v="1576"/>
    <n v="3"/>
    <x v="0"/>
    <n v="65"/>
    <n v="3"/>
    <n v="1"/>
    <x v="1"/>
    <n v="1"/>
    <x v="1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  <x v="0"/>
    <x v="1"/>
    <x v="1"/>
  </r>
  <r>
    <x v="13"/>
    <x v="1"/>
    <s v="Travel_Rarely"/>
    <n v="479"/>
    <x v="1"/>
    <n v="7"/>
    <x v="2"/>
    <s v="Medical"/>
    <n v="1"/>
    <n v="1577"/>
    <n v="1"/>
    <x v="1"/>
    <n v="35"/>
    <n v="3"/>
    <n v="1"/>
    <x v="1"/>
    <n v="4"/>
    <x v="0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  <x v="1"/>
    <x v="2"/>
    <x v="1"/>
  </r>
  <r>
    <x v="27"/>
    <x v="1"/>
    <s v="Travel_Rarely"/>
    <n v="685"/>
    <x v="0"/>
    <n v="26"/>
    <x v="4"/>
    <s v="Marketing"/>
    <n v="1"/>
    <n v="1578"/>
    <n v="3"/>
    <x v="1"/>
    <n v="60"/>
    <n v="2"/>
    <n v="5"/>
    <x v="5"/>
    <n v="4"/>
    <x v="1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  <x v="1"/>
    <x v="3"/>
    <x v="0"/>
  </r>
  <r>
    <x v="13"/>
    <x v="1"/>
    <s v="Travel_Rarely"/>
    <n v="1351"/>
    <x v="1"/>
    <n v="1"/>
    <x v="2"/>
    <s v="Life Sciences"/>
    <n v="1"/>
    <n v="1580"/>
    <n v="2"/>
    <x v="1"/>
    <n v="45"/>
    <n v="3"/>
    <n v="2"/>
    <x v="1"/>
    <n v="4"/>
    <x v="1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  <x v="1"/>
    <x v="0"/>
    <x v="1"/>
  </r>
  <r>
    <x v="25"/>
    <x v="1"/>
    <s v="Travel_Rarely"/>
    <n v="474"/>
    <x v="1"/>
    <n v="3"/>
    <x v="3"/>
    <s v="Life Sciences"/>
    <n v="1"/>
    <n v="1581"/>
    <n v="1"/>
    <x v="0"/>
    <n v="89"/>
    <n v="3"/>
    <n v="1"/>
    <x v="1"/>
    <n v="4"/>
    <x v="1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  <x v="0"/>
    <x v="0"/>
    <x v="1"/>
  </r>
  <r>
    <x v="8"/>
    <x v="1"/>
    <s v="Travel_Rarely"/>
    <n v="1245"/>
    <x v="0"/>
    <n v="14"/>
    <x v="3"/>
    <s v="Life Sciences"/>
    <n v="1"/>
    <n v="1582"/>
    <n v="3"/>
    <x v="1"/>
    <n v="80"/>
    <n v="3"/>
    <n v="2"/>
    <x v="0"/>
    <n v="2"/>
    <x v="1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  <x v="1"/>
    <x v="0"/>
    <x v="0"/>
  </r>
  <r>
    <x v="8"/>
    <x v="1"/>
    <s v="Travel_Rarely"/>
    <n v="437"/>
    <x v="0"/>
    <n v="16"/>
    <x v="3"/>
    <s v="Life Sciences"/>
    <n v="1"/>
    <n v="1583"/>
    <n v="2"/>
    <x v="0"/>
    <n v="90"/>
    <n v="3"/>
    <n v="2"/>
    <x v="0"/>
    <n v="2"/>
    <x v="0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  <x v="0"/>
    <x v="0"/>
    <x v="0"/>
  </r>
  <r>
    <x v="9"/>
    <x v="1"/>
    <s v="Travel_Rarely"/>
    <n v="884"/>
    <x v="0"/>
    <n v="1"/>
    <x v="2"/>
    <s v="Life Sciences"/>
    <n v="1"/>
    <n v="1585"/>
    <n v="2"/>
    <x v="0"/>
    <n v="73"/>
    <n v="3"/>
    <n v="2"/>
    <x v="0"/>
    <n v="3"/>
    <x v="0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  <x v="0"/>
    <x v="0"/>
    <x v="0"/>
  </r>
  <r>
    <x v="11"/>
    <x v="1"/>
    <s v="Travel_Rarely"/>
    <n v="1370"/>
    <x v="1"/>
    <n v="3"/>
    <x v="1"/>
    <s v="Medical"/>
    <n v="1"/>
    <n v="1586"/>
    <n v="2"/>
    <x v="1"/>
    <n v="87"/>
    <n v="3"/>
    <n v="1"/>
    <x v="2"/>
    <n v="1"/>
    <x v="0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  <x v="1"/>
    <x v="2"/>
    <x v="1"/>
  </r>
  <r>
    <x v="10"/>
    <x v="1"/>
    <s v="Travel_Rarely"/>
    <n v="670"/>
    <x v="1"/>
    <n v="10"/>
    <x v="2"/>
    <s v="Medical"/>
    <n v="1"/>
    <n v="1587"/>
    <n v="1"/>
    <x v="0"/>
    <n v="51"/>
    <n v="3"/>
    <n v="2"/>
    <x v="4"/>
    <n v="3"/>
    <x v="0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  <x v="0"/>
    <x v="2"/>
    <x v="1"/>
  </r>
  <r>
    <x v="22"/>
    <x v="1"/>
    <s v="Travel_Rarely"/>
    <n v="1462"/>
    <x v="0"/>
    <n v="6"/>
    <x v="3"/>
    <s v="Medical"/>
    <n v="1"/>
    <n v="1588"/>
    <n v="4"/>
    <x v="1"/>
    <n v="38"/>
    <n v="4"/>
    <n v="3"/>
    <x v="0"/>
    <n v="3"/>
    <x v="1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  <x v="1"/>
    <x v="2"/>
    <x v="0"/>
  </r>
  <r>
    <x v="11"/>
    <x v="1"/>
    <s v="Travel_Frequently"/>
    <n v="995"/>
    <x v="1"/>
    <n v="2"/>
    <x v="1"/>
    <s v="Life Sciences"/>
    <n v="1"/>
    <n v="1590"/>
    <n v="1"/>
    <x v="1"/>
    <n v="87"/>
    <n v="3"/>
    <n v="2"/>
    <x v="4"/>
    <n v="4"/>
    <x v="2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  <x v="1"/>
    <x v="0"/>
    <x v="1"/>
  </r>
  <r>
    <x v="24"/>
    <x v="1"/>
    <s v="Travel_Rarely"/>
    <n v="264"/>
    <x v="0"/>
    <n v="9"/>
    <x v="3"/>
    <s v="Marketing"/>
    <n v="1"/>
    <n v="1591"/>
    <n v="3"/>
    <x v="1"/>
    <n v="59"/>
    <n v="3"/>
    <n v="5"/>
    <x v="5"/>
    <n v="3"/>
    <x v="1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  <x v="1"/>
    <x v="3"/>
    <x v="0"/>
  </r>
  <r>
    <x v="30"/>
    <x v="1"/>
    <s v="Travel_Rarely"/>
    <n v="977"/>
    <x v="1"/>
    <n v="10"/>
    <x v="3"/>
    <s v="Technical Degree"/>
    <n v="1"/>
    <n v="1592"/>
    <n v="4"/>
    <x v="1"/>
    <n v="45"/>
    <n v="4"/>
    <n v="1"/>
    <x v="1"/>
    <n v="3"/>
    <x v="1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  <x v="1"/>
    <x v="4"/>
    <x v="1"/>
  </r>
  <r>
    <x v="9"/>
    <x v="1"/>
    <s v="Travel_Frequently"/>
    <n v="1302"/>
    <x v="1"/>
    <n v="6"/>
    <x v="2"/>
    <s v="Life Sciences"/>
    <n v="1"/>
    <n v="1594"/>
    <n v="1"/>
    <x v="1"/>
    <n v="80"/>
    <n v="4"/>
    <n v="2"/>
    <x v="2"/>
    <n v="1"/>
    <x v="1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  <x v="1"/>
    <x v="0"/>
    <x v="1"/>
  </r>
  <r>
    <x v="19"/>
    <x v="1"/>
    <s v="Travel_Rarely"/>
    <n v="1059"/>
    <x v="1"/>
    <n v="9"/>
    <x v="0"/>
    <s v="Other"/>
    <n v="1"/>
    <n v="1595"/>
    <n v="4"/>
    <x v="1"/>
    <n v="93"/>
    <n v="2"/>
    <n v="5"/>
    <x v="5"/>
    <n v="4"/>
    <x v="0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  <x v="1"/>
    <x v="1"/>
    <x v="1"/>
  </r>
  <r>
    <x v="10"/>
    <x v="1"/>
    <s v="Travel_Rarely"/>
    <n v="750"/>
    <x v="1"/>
    <n v="28"/>
    <x v="3"/>
    <s v="Life Sciences"/>
    <n v="1"/>
    <n v="1596"/>
    <n v="2"/>
    <x v="1"/>
    <n v="46"/>
    <n v="4"/>
    <n v="2"/>
    <x v="2"/>
    <n v="3"/>
    <x v="1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  <x v="1"/>
    <x v="0"/>
    <x v="1"/>
  </r>
  <r>
    <x v="13"/>
    <x v="1"/>
    <s v="Travel_Frequently"/>
    <n v="653"/>
    <x v="1"/>
    <n v="10"/>
    <x v="2"/>
    <s v="Technical Degree"/>
    <n v="1"/>
    <n v="1597"/>
    <n v="4"/>
    <x v="1"/>
    <n v="92"/>
    <n v="2"/>
    <n v="2"/>
    <x v="4"/>
    <n v="3"/>
    <x v="1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  <x v="1"/>
    <x v="4"/>
    <x v="1"/>
  </r>
  <r>
    <x v="32"/>
    <x v="1"/>
    <s v="Travel_Rarely"/>
    <n v="118"/>
    <x v="0"/>
    <n v="14"/>
    <x v="0"/>
    <s v="Life Sciences"/>
    <n v="1"/>
    <n v="1598"/>
    <n v="4"/>
    <x v="0"/>
    <n v="84"/>
    <n v="3"/>
    <n v="2"/>
    <x v="0"/>
    <n v="1"/>
    <x v="1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  <x v="0"/>
    <x v="0"/>
    <x v="0"/>
  </r>
  <r>
    <x v="23"/>
    <x v="1"/>
    <s v="Travel_Rarely"/>
    <n v="990"/>
    <x v="1"/>
    <n v="27"/>
    <x v="3"/>
    <s v="Technical Degree"/>
    <n v="1"/>
    <n v="1599"/>
    <n v="4"/>
    <x v="1"/>
    <n v="87"/>
    <n v="4"/>
    <n v="1"/>
    <x v="2"/>
    <n v="2"/>
    <x v="2"/>
    <n v="4876"/>
    <n v="5855"/>
    <n v="5"/>
    <s v="Y"/>
    <s v="No"/>
    <n v="12"/>
    <n v="3"/>
    <n v="3"/>
    <n v="80"/>
    <n v="1"/>
    <n v="8"/>
    <n v="0"/>
    <n v="3"/>
    <n v="6"/>
    <n v="4"/>
    <n v="0"/>
    <n v="2"/>
    <m/>
    <x v="1"/>
    <x v="4"/>
    <x v="1"/>
  </r>
  <r>
    <x v="10"/>
    <x v="1"/>
    <s v="Travel_Rarely"/>
    <n v="1349"/>
    <x v="1"/>
    <n v="7"/>
    <x v="0"/>
    <s v="Life Sciences"/>
    <n v="1"/>
    <n v="1601"/>
    <n v="3"/>
    <x v="1"/>
    <n v="63"/>
    <n v="2"/>
    <n v="1"/>
    <x v="2"/>
    <n v="4"/>
    <x v="1"/>
    <n v="2690"/>
    <n v="7713"/>
    <n v="1"/>
    <s v="Y"/>
    <s v="No"/>
    <n v="18"/>
    <n v="3"/>
    <n v="4"/>
    <n v="80"/>
    <n v="1"/>
    <n v="1"/>
    <n v="5"/>
    <n v="2"/>
    <n v="1"/>
    <n v="0"/>
    <n v="0"/>
    <n v="1"/>
    <m/>
    <x v="1"/>
    <x v="0"/>
    <x v="1"/>
  </r>
  <r>
    <x v="21"/>
    <x v="1"/>
    <s v="Travel_Rarely"/>
    <n v="563"/>
    <x v="0"/>
    <n v="1"/>
    <x v="2"/>
    <s v="Life Sciences"/>
    <n v="1"/>
    <n v="1602"/>
    <n v="4"/>
    <x v="1"/>
    <n v="56"/>
    <n v="4"/>
    <n v="4"/>
    <x v="5"/>
    <n v="1"/>
    <x v="0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  <x v="1"/>
    <x v="0"/>
    <x v="0"/>
  </r>
  <r>
    <x v="14"/>
    <x v="0"/>
    <s v="Travel_Rarely"/>
    <n v="329"/>
    <x v="1"/>
    <n v="24"/>
    <x v="3"/>
    <s v="Medical"/>
    <n v="1"/>
    <n v="1604"/>
    <n v="3"/>
    <x v="1"/>
    <n v="51"/>
    <n v="3"/>
    <n v="1"/>
    <x v="2"/>
    <n v="2"/>
    <x v="1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  <x v="1"/>
    <x v="2"/>
    <x v="1"/>
  </r>
  <r>
    <x v="15"/>
    <x v="1"/>
    <s v="Non-Travel"/>
    <n v="457"/>
    <x v="1"/>
    <n v="26"/>
    <x v="0"/>
    <s v="Other"/>
    <n v="1"/>
    <n v="1605"/>
    <n v="2"/>
    <x v="0"/>
    <n v="85"/>
    <n v="2"/>
    <n v="1"/>
    <x v="1"/>
    <n v="3"/>
    <x v="1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  <x v="0"/>
    <x v="1"/>
    <x v="1"/>
  </r>
  <r>
    <x v="24"/>
    <x v="1"/>
    <s v="Travel_Frequently"/>
    <n v="1234"/>
    <x v="1"/>
    <n v="20"/>
    <x v="4"/>
    <s v="Medical"/>
    <n v="1"/>
    <n v="1606"/>
    <n v="2"/>
    <x v="1"/>
    <n v="41"/>
    <n v="3"/>
    <n v="4"/>
    <x v="4"/>
    <n v="3"/>
    <x v="1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  <x v="1"/>
    <x v="2"/>
    <x v="1"/>
  </r>
  <r>
    <x v="5"/>
    <x v="1"/>
    <s v="Travel_Rarely"/>
    <n v="634"/>
    <x v="1"/>
    <n v="5"/>
    <x v="2"/>
    <s v="Other"/>
    <n v="1"/>
    <n v="1607"/>
    <n v="2"/>
    <x v="0"/>
    <n v="35"/>
    <n v="4"/>
    <n v="1"/>
    <x v="1"/>
    <n v="4"/>
    <x v="1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  <x v="0"/>
    <x v="1"/>
    <x v="1"/>
  </r>
  <r>
    <x v="20"/>
    <x v="1"/>
    <s v="Travel_Rarely"/>
    <n v="1313"/>
    <x v="1"/>
    <n v="7"/>
    <x v="3"/>
    <s v="Medical"/>
    <n v="1"/>
    <n v="1608"/>
    <n v="2"/>
    <x v="0"/>
    <n v="31"/>
    <n v="3"/>
    <n v="5"/>
    <x v="7"/>
    <n v="4"/>
    <x v="2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  <x v="0"/>
    <x v="2"/>
    <x v="1"/>
  </r>
  <r>
    <x v="7"/>
    <x v="1"/>
    <s v="Travel_Rarely"/>
    <n v="241"/>
    <x v="1"/>
    <n v="7"/>
    <x v="3"/>
    <s v="Medical"/>
    <n v="1"/>
    <n v="1609"/>
    <n v="2"/>
    <x v="1"/>
    <n v="48"/>
    <n v="2"/>
    <n v="1"/>
    <x v="1"/>
    <n v="2"/>
    <x v="1"/>
    <n v="2141"/>
    <n v="5348"/>
    <n v="1"/>
    <s v="Y"/>
    <s v="No"/>
    <n v="12"/>
    <n v="3"/>
    <n v="2"/>
    <n v="80"/>
    <n v="1"/>
    <n v="6"/>
    <n v="3"/>
    <n v="2"/>
    <n v="6"/>
    <n v="4"/>
    <n v="1"/>
    <n v="1"/>
    <m/>
    <x v="1"/>
    <x v="2"/>
    <x v="1"/>
  </r>
  <r>
    <x v="28"/>
    <x v="1"/>
    <s v="Travel_Rarely"/>
    <n v="1015"/>
    <x v="1"/>
    <n v="5"/>
    <x v="4"/>
    <s v="Medical"/>
    <n v="1"/>
    <n v="1611"/>
    <n v="3"/>
    <x v="0"/>
    <n v="50"/>
    <n v="1"/>
    <n v="2"/>
    <x v="2"/>
    <n v="1"/>
    <x v="0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  <x v="0"/>
    <x v="2"/>
    <x v="1"/>
  </r>
  <r>
    <x v="28"/>
    <x v="1"/>
    <s v="Non-Travel"/>
    <n v="336"/>
    <x v="0"/>
    <n v="26"/>
    <x v="3"/>
    <s v="Marketing"/>
    <n v="1"/>
    <n v="1612"/>
    <n v="1"/>
    <x v="1"/>
    <n v="52"/>
    <n v="2"/>
    <n v="2"/>
    <x v="0"/>
    <n v="1"/>
    <x v="1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  <x v="1"/>
    <x v="3"/>
    <x v="0"/>
  </r>
  <r>
    <x v="12"/>
    <x v="1"/>
    <s v="Travel_Frequently"/>
    <n v="715"/>
    <x v="0"/>
    <n v="2"/>
    <x v="2"/>
    <s v="Other"/>
    <n v="1"/>
    <n v="1613"/>
    <n v="4"/>
    <x v="1"/>
    <n v="54"/>
    <n v="3"/>
    <n v="2"/>
    <x v="0"/>
    <n v="1"/>
    <x v="0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  <x v="1"/>
    <x v="1"/>
    <x v="0"/>
  </r>
  <r>
    <x v="9"/>
    <x v="1"/>
    <s v="Travel_Rarely"/>
    <n v="559"/>
    <x v="1"/>
    <n v="12"/>
    <x v="2"/>
    <s v="Life Sciences"/>
    <n v="1"/>
    <n v="1614"/>
    <n v="3"/>
    <x v="0"/>
    <n v="76"/>
    <n v="3"/>
    <n v="2"/>
    <x v="3"/>
    <n v="3"/>
    <x v="1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  <x v="0"/>
    <x v="0"/>
    <x v="1"/>
  </r>
  <r>
    <x v="13"/>
    <x v="1"/>
    <s v="Travel_Frequently"/>
    <n v="426"/>
    <x v="1"/>
    <n v="10"/>
    <x v="2"/>
    <s v="Life Sciences"/>
    <n v="1"/>
    <n v="1615"/>
    <n v="3"/>
    <x v="1"/>
    <n v="42"/>
    <n v="4"/>
    <n v="2"/>
    <x v="3"/>
    <n v="4"/>
    <x v="2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  <x v="1"/>
    <x v="0"/>
    <x v="1"/>
  </r>
  <r>
    <x v="1"/>
    <x v="1"/>
    <s v="Travel_Rarely"/>
    <n v="722"/>
    <x v="1"/>
    <n v="25"/>
    <x v="2"/>
    <s v="Life Sciences"/>
    <n v="1"/>
    <n v="1617"/>
    <n v="3"/>
    <x v="0"/>
    <n v="84"/>
    <n v="3"/>
    <n v="1"/>
    <x v="2"/>
    <n v="1"/>
    <x v="1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  <x v="0"/>
    <x v="0"/>
    <x v="1"/>
  </r>
  <r>
    <x v="22"/>
    <x v="1"/>
    <s v="Travel_Rarely"/>
    <n v="1387"/>
    <x v="1"/>
    <n v="10"/>
    <x v="4"/>
    <s v="Medical"/>
    <n v="1"/>
    <n v="1618"/>
    <n v="2"/>
    <x v="1"/>
    <n v="76"/>
    <n v="3"/>
    <n v="2"/>
    <x v="3"/>
    <n v="1"/>
    <x v="1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  <x v="1"/>
    <x v="2"/>
    <x v="1"/>
  </r>
  <r>
    <x v="4"/>
    <x v="1"/>
    <s v="Travel_Rarely"/>
    <n v="1302"/>
    <x v="1"/>
    <n v="19"/>
    <x v="3"/>
    <s v="Other"/>
    <n v="1"/>
    <n v="1619"/>
    <n v="4"/>
    <x v="1"/>
    <n v="67"/>
    <n v="2"/>
    <n v="1"/>
    <x v="2"/>
    <n v="1"/>
    <x v="2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  <x v="1"/>
    <x v="1"/>
    <x v="1"/>
  </r>
  <r>
    <x v="10"/>
    <x v="1"/>
    <s v="Travel_Rarely"/>
    <n v="819"/>
    <x v="1"/>
    <n v="18"/>
    <x v="4"/>
    <s v="Life Sciences"/>
    <n v="1"/>
    <n v="1621"/>
    <n v="2"/>
    <x v="1"/>
    <n v="48"/>
    <n v="4"/>
    <n v="2"/>
    <x v="1"/>
    <n v="1"/>
    <x v="1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  <x v="1"/>
    <x v="0"/>
    <x v="1"/>
  </r>
  <r>
    <x v="14"/>
    <x v="1"/>
    <s v="Travel_Rarely"/>
    <n v="580"/>
    <x v="1"/>
    <n v="27"/>
    <x v="3"/>
    <s v="Medical"/>
    <n v="1"/>
    <n v="1622"/>
    <n v="2"/>
    <x v="0"/>
    <n v="39"/>
    <n v="1"/>
    <n v="2"/>
    <x v="3"/>
    <n v="1"/>
    <x v="2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  <x v="0"/>
    <x v="2"/>
    <x v="1"/>
  </r>
  <r>
    <x v="18"/>
    <x v="1"/>
    <s v="Travel_Rarely"/>
    <n v="546"/>
    <x v="1"/>
    <n v="5"/>
    <x v="1"/>
    <s v="Medical"/>
    <n v="1"/>
    <n v="1623"/>
    <n v="3"/>
    <x v="1"/>
    <n v="97"/>
    <n v="3"/>
    <n v="1"/>
    <x v="1"/>
    <n v="4"/>
    <x v="0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  <x v="1"/>
    <x v="2"/>
    <x v="1"/>
  </r>
  <r>
    <x v="41"/>
    <x v="0"/>
    <s v="Travel_Frequently"/>
    <n v="544"/>
    <x v="0"/>
    <n v="3"/>
    <x v="0"/>
    <s v="Medical"/>
    <n v="1"/>
    <n v="1624"/>
    <n v="2"/>
    <x v="0"/>
    <n v="70"/>
    <n v="3"/>
    <n v="1"/>
    <x v="6"/>
    <n v="4"/>
    <x v="0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  <x v="0"/>
    <x v="2"/>
    <x v="0"/>
  </r>
  <r>
    <x v="40"/>
    <x v="1"/>
    <s v="Travel_Rarely"/>
    <n v="1176"/>
    <x v="2"/>
    <n v="26"/>
    <x v="2"/>
    <s v="Life Sciences"/>
    <n v="1"/>
    <n v="1625"/>
    <n v="4"/>
    <x v="0"/>
    <n v="98"/>
    <n v="3"/>
    <n v="5"/>
    <x v="5"/>
    <n v="3"/>
    <x v="1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  <x v="0"/>
    <x v="0"/>
    <x v="2"/>
  </r>
  <r>
    <x v="22"/>
    <x v="1"/>
    <s v="Travel_Rarely"/>
    <n v="170"/>
    <x v="1"/>
    <n v="3"/>
    <x v="0"/>
    <s v="Medical"/>
    <n v="1"/>
    <n v="1627"/>
    <n v="3"/>
    <x v="1"/>
    <n v="76"/>
    <n v="2"/>
    <n v="2"/>
    <x v="2"/>
    <n v="3"/>
    <x v="2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  <x v="1"/>
    <x v="2"/>
    <x v="1"/>
  </r>
  <r>
    <x v="32"/>
    <x v="1"/>
    <s v="Travel_Rarely"/>
    <n v="884"/>
    <x v="1"/>
    <n v="15"/>
    <x v="3"/>
    <s v="Life Sciences"/>
    <n v="1"/>
    <n v="1628"/>
    <n v="1"/>
    <x v="0"/>
    <n v="80"/>
    <n v="2"/>
    <n v="3"/>
    <x v="3"/>
    <n v="3"/>
    <x v="1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  <x v="0"/>
    <x v="0"/>
    <x v="1"/>
  </r>
  <r>
    <x v="10"/>
    <x v="1"/>
    <s v="Non-Travel"/>
    <n v="208"/>
    <x v="1"/>
    <n v="8"/>
    <x v="2"/>
    <s v="Life Sciences"/>
    <n v="1"/>
    <n v="1630"/>
    <n v="3"/>
    <x v="0"/>
    <n v="52"/>
    <n v="3"/>
    <n v="2"/>
    <x v="4"/>
    <n v="3"/>
    <x v="1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  <x v="0"/>
    <x v="0"/>
    <x v="1"/>
  </r>
  <r>
    <x v="2"/>
    <x v="1"/>
    <s v="Travel_Rarely"/>
    <n v="671"/>
    <x v="1"/>
    <n v="19"/>
    <x v="3"/>
    <s v="Life Sciences"/>
    <n v="1"/>
    <n v="1631"/>
    <n v="3"/>
    <x v="1"/>
    <n v="85"/>
    <n v="3"/>
    <n v="2"/>
    <x v="3"/>
    <n v="3"/>
    <x v="1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  <x v="1"/>
    <x v="0"/>
    <x v="1"/>
  </r>
  <r>
    <x v="22"/>
    <x v="1"/>
    <s v="Travel_Frequently"/>
    <n v="711"/>
    <x v="1"/>
    <n v="4"/>
    <x v="3"/>
    <s v="Medical"/>
    <n v="1"/>
    <n v="1633"/>
    <n v="1"/>
    <x v="0"/>
    <n v="81"/>
    <n v="3"/>
    <n v="2"/>
    <x v="3"/>
    <n v="3"/>
    <x v="0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  <x v="0"/>
    <x v="2"/>
    <x v="1"/>
  </r>
  <r>
    <x v="28"/>
    <x v="1"/>
    <s v="Travel_Rarely"/>
    <n v="1329"/>
    <x v="1"/>
    <n v="2"/>
    <x v="0"/>
    <s v="Other"/>
    <n v="1"/>
    <n v="1635"/>
    <n v="4"/>
    <x v="0"/>
    <n v="59"/>
    <n v="2"/>
    <n v="2"/>
    <x v="3"/>
    <n v="4"/>
    <x v="2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  <x v="0"/>
    <x v="1"/>
    <x v="1"/>
  </r>
  <r>
    <x v="8"/>
    <x v="1"/>
    <s v="Travel_Rarely"/>
    <n v="397"/>
    <x v="1"/>
    <n v="2"/>
    <x v="0"/>
    <s v="Medical"/>
    <n v="1"/>
    <n v="1638"/>
    <n v="4"/>
    <x v="0"/>
    <n v="54"/>
    <n v="2"/>
    <n v="3"/>
    <x v="3"/>
    <n v="3"/>
    <x v="1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  <x v="0"/>
    <x v="2"/>
    <x v="1"/>
  </r>
  <r>
    <x v="10"/>
    <x v="0"/>
    <s v="Travel_Rarely"/>
    <n v="737"/>
    <x v="0"/>
    <n v="10"/>
    <x v="3"/>
    <s v="Medical"/>
    <n v="1"/>
    <n v="1639"/>
    <n v="4"/>
    <x v="1"/>
    <n v="55"/>
    <n v="2"/>
    <n v="3"/>
    <x v="0"/>
    <n v="1"/>
    <x v="1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  <x v="1"/>
    <x v="2"/>
    <x v="0"/>
  </r>
  <r>
    <x v="2"/>
    <x v="1"/>
    <s v="Travel_Rarely"/>
    <n v="1470"/>
    <x v="1"/>
    <n v="10"/>
    <x v="3"/>
    <s v="Medical"/>
    <n v="1"/>
    <n v="1640"/>
    <n v="2"/>
    <x v="0"/>
    <n v="71"/>
    <n v="3"/>
    <n v="1"/>
    <x v="1"/>
    <n v="2"/>
    <x v="1"/>
    <n v="3936"/>
    <n v="9953"/>
    <n v="1"/>
    <s v="Y"/>
    <s v="No"/>
    <n v="11"/>
    <n v="3"/>
    <n v="1"/>
    <n v="80"/>
    <n v="1"/>
    <n v="8"/>
    <n v="2"/>
    <n v="1"/>
    <n v="8"/>
    <n v="4"/>
    <n v="7"/>
    <n v="7"/>
    <m/>
    <x v="0"/>
    <x v="2"/>
    <x v="1"/>
  </r>
  <r>
    <x v="32"/>
    <x v="1"/>
    <s v="Travel_Rarely"/>
    <n v="448"/>
    <x v="1"/>
    <n v="16"/>
    <x v="3"/>
    <s v="Life Sciences"/>
    <n v="1"/>
    <n v="1641"/>
    <n v="3"/>
    <x v="0"/>
    <n v="84"/>
    <n v="3"/>
    <n v="3"/>
    <x v="3"/>
    <n v="4"/>
    <x v="0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  <x v="0"/>
    <x v="0"/>
    <x v="1"/>
  </r>
  <r>
    <x v="20"/>
    <x v="1"/>
    <s v="Travel_Frequently"/>
    <n v="602"/>
    <x v="2"/>
    <n v="1"/>
    <x v="4"/>
    <s v="Human Resources"/>
    <n v="1"/>
    <n v="1642"/>
    <n v="1"/>
    <x v="1"/>
    <n v="37"/>
    <n v="3"/>
    <n v="2"/>
    <x v="8"/>
    <n v="4"/>
    <x v="1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  <x v="1"/>
    <x v="5"/>
    <x v="2"/>
  </r>
  <r>
    <x v="26"/>
    <x v="1"/>
    <s v="Travel_Frequently"/>
    <n v="365"/>
    <x v="1"/>
    <n v="4"/>
    <x v="4"/>
    <s v="Medical"/>
    <n v="1"/>
    <n v="1644"/>
    <n v="3"/>
    <x v="1"/>
    <n v="89"/>
    <n v="2"/>
    <n v="4"/>
    <x v="5"/>
    <n v="4"/>
    <x v="1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  <x v="1"/>
    <x v="2"/>
    <x v="1"/>
  </r>
  <r>
    <x v="10"/>
    <x v="0"/>
    <s v="Travel_Rarely"/>
    <n v="763"/>
    <x v="0"/>
    <n v="15"/>
    <x v="0"/>
    <s v="Medical"/>
    <n v="1"/>
    <n v="1645"/>
    <n v="1"/>
    <x v="1"/>
    <n v="59"/>
    <n v="1"/>
    <n v="2"/>
    <x v="0"/>
    <n v="4"/>
    <x v="2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  <x v="1"/>
    <x v="2"/>
    <x v="0"/>
  </r>
  <r>
    <x v="17"/>
    <x v="1"/>
    <s v="Travel_Frequently"/>
    <n v="567"/>
    <x v="1"/>
    <n v="2"/>
    <x v="1"/>
    <s v="Technical Degree"/>
    <n v="1"/>
    <n v="1646"/>
    <n v="1"/>
    <x v="0"/>
    <n v="32"/>
    <n v="3"/>
    <n v="1"/>
    <x v="1"/>
    <n v="4"/>
    <x v="0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  <x v="0"/>
    <x v="4"/>
    <x v="1"/>
  </r>
  <r>
    <x v="4"/>
    <x v="1"/>
    <s v="Travel_Rarely"/>
    <n v="486"/>
    <x v="1"/>
    <n v="8"/>
    <x v="3"/>
    <s v="Medical"/>
    <n v="1"/>
    <n v="1647"/>
    <n v="2"/>
    <x v="0"/>
    <n v="86"/>
    <n v="4"/>
    <n v="1"/>
    <x v="1"/>
    <n v="3"/>
    <x v="1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  <x v="0"/>
    <x v="2"/>
    <x v="1"/>
  </r>
  <r>
    <x v="4"/>
    <x v="1"/>
    <s v="Travel_Frequently"/>
    <n v="591"/>
    <x v="1"/>
    <n v="2"/>
    <x v="3"/>
    <s v="Medical"/>
    <n v="1"/>
    <n v="1648"/>
    <n v="4"/>
    <x v="1"/>
    <n v="87"/>
    <n v="3"/>
    <n v="1"/>
    <x v="1"/>
    <n v="4"/>
    <x v="0"/>
    <n v="2580"/>
    <n v="6297"/>
    <n v="2"/>
    <s v="Y"/>
    <s v="No"/>
    <n v="13"/>
    <n v="3"/>
    <n v="3"/>
    <n v="80"/>
    <n v="0"/>
    <n v="6"/>
    <n v="0"/>
    <n v="2"/>
    <n v="4"/>
    <n v="2"/>
    <n v="1"/>
    <n v="2"/>
    <m/>
    <x v="1"/>
    <x v="2"/>
    <x v="1"/>
  </r>
  <r>
    <x v="32"/>
    <x v="0"/>
    <s v="Travel_Rarely"/>
    <n v="1329"/>
    <x v="1"/>
    <n v="7"/>
    <x v="3"/>
    <s v="Life Sciences"/>
    <n v="1"/>
    <n v="1649"/>
    <n v="1"/>
    <x v="1"/>
    <n v="73"/>
    <n v="3"/>
    <n v="1"/>
    <x v="2"/>
    <n v="1"/>
    <x v="0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  <x v="1"/>
    <x v="0"/>
    <x v="1"/>
  </r>
  <r>
    <x v="11"/>
    <x v="1"/>
    <s v="Travel_Rarely"/>
    <n v="469"/>
    <x v="0"/>
    <n v="10"/>
    <x v="3"/>
    <s v="Medical"/>
    <n v="1"/>
    <n v="1650"/>
    <n v="3"/>
    <x v="1"/>
    <n v="42"/>
    <n v="2"/>
    <n v="2"/>
    <x v="0"/>
    <n v="3"/>
    <x v="0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  <x v="1"/>
    <x v="2"/>
    <x v="0"/>
  </r>
  <r>
    <x v="9"/>
    <x v="1"/>
    <s v="Travel_Rarely"/>
    <n v="711"/>
    <x v="1"/>
    <n v="5"/>
    <x v="2"/>
    <s v="Life Sciences"/>
    <n v="1"/>
    <n v="1651"/>
    <n v="2"/>
    <x v="0"/>
    <n v="42"/>
    <n v="3"/>
    <n v="3"/>
    <x v="4"/>
    <n v="1"/>
    <x v="1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  <x v="0"/>
    <x v="0"/>
    <x v="1"/>
  </r>
  <r>
    <x v="36"/>
    <x v="1"/>
    <s v="Travel_Frequently"/>
    <n v="772"/>
    <x v="1"/>
    <n v="2"/>
    <x v="1"/>
    <s v="Life Sciences"/>
    <n v="1"/>
    <n v="1653"/>
    <n v="4"/>
    <x v="1"/>
    <n v="77"/>
    <n v="4"/>
    <n v="2"/>
    <x v="3"/>
    <n v="3"/>
    <x v="2"/>
    <n v="5206"/>
    <n v="4973"/>
    <n v="1"/>
    <s v="Y"/>
    <s v="No"/>
    <n v="17"/>
    <n v="3"/>
    <n v="3"/>
    <n v="80"/>
    <n v="2"/>
    <n v="7"/>
    <n v="6"/>
    <n v="3"/>
    <n v="7"/>
    <n v="7"/>
    <n v="0"/>
    <n v="7"/>
    <m/>
    <x v="1"/>
    <x v="0"/>
    <x v="1"/>
  </r>
  <r>
    <x v="22"/>
    <x v="1"/>
    <s v="Travel_Rarely"/>
    <n v="492"/>
    <x v="1"/>
    <n v="12"/>
    <x v="3"/>
    <s v="Medical"/>
    <n v="1"/>
    <n v="1654"/>
    <n v="4"/>
    <x v="1"/>
    <n v="66"/>
    <n v="3"/>
    <n v="2"/>
    <x v="3"/>
    <n v="2"/>
    <x v="1"/>
    <n v="5295"/>
    <n v="7693"/>
    <n v="4"/>
    <s v="Y"/>
    <s v="No"/>
    <n v="21"/>
    <n v="4"/>
    <n v="3"/>
    <n v="80"/>
    <n v="0"/>
    <n v="7"/>
    <n v="3"/>
    <n v="3"/>
    <n v="5"/>
    <n v="4"/>
    <n v="1"/>
    <n v="0"/>
    <m/>
    <x v="1"/>
    <x v="2"/>
    <x v="1"/>
  </r>
  <r>
    <x v="1"/>
    <x v="1"/>
    <s v="Travel_Rarely"/>
    <n v="301"/>
    <x v="1"/>
    <n v="22"/>
    <x v="2"/>
    <s v="Other"/>
    <n v="1"/>
    <n v="1655"/>
    <n v="1"/>
    <x v="0"/>
    <n v="72"/>
    <n v="3"/>
    <n v="4"/>
    <x v="7"/>
    <n v="2"/>
    <x v="1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  <x v="0"/>
    <x v="1"/>
    <x v="1"/>
  </r>
  <r>
    <x v="24"/>
    <x v="1"/>
    <s v="Travel_Rarely"/>
    <n v="813"/>
    <x v="1"/>
    <n v="17"/>
    <x v="4"/>
    <s v="Life Sciences"/>
    <n v="1"/>
    <n v="1656"/>
    <n v="4"/>
    <x v="0"/>
    <n v="50"/>
    <n v="2"/>
    <n v="3"/>
    <x v="7"/>
    <n v="1"/>
    <x v="2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  <x v="0"/>
    <x v="0"/>
    <x v="1"/>
  </r>
  <r>
    <x v="35"/>
    <x v="1"/>
    <s v="Travel_Rarely"/>
    <n v="1141"/>
    <x v="0"/>
    <n v="2"/>
    <x v="3"/>
    <s v="Medical"/>
    <n v="1"/>
    <n v="1657"/>
    <n v="3"/>
    <x v="0"/>
    <n v="31"/>
    <n v="3"/>
    <n v="1"/>
    <x v="6"/>
    <n v="3"/>
    <x v="0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  <x v="0"/>
    <x v="2"/>
    <x v="0"/>
  </r>
  <r>
    <x v="13"/>
    <x v="1"/>
    <s v="Travel_Rarely"/>
    <n v="1130"/>
    <x v="1"/>
    <n v="3"/>
    <x v="3"/>
    <s v="Life Sciences"/>
    <n v="1"/>
    <n v="1658"/>
    <n v="4"/>
    <x v="0"/>
    <n v="66"/>
    <n v="3"/>
    <n v="2"/>
    <x v="1"/>
    <n v="2"/>
    <x v="2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  <x v="0"/>
    <x v="0"/>
    <x v="1"/>
  </r>
  <r>
    <x v="9"/>
    <x v="1"/>
    <s v="Travel_Rarely"/>
    <n v="311"/>
    <x v="1"/>
    <n v="7"/>
    <x v="3"/>
    <s v="Life Sciences"/>
    <n v="1"/>
    <n v="1659"/>
    <n v="1"/>
    <x v="1"/>
    <n v="77"/>
    <n v="3"/>
    <n v="1"/>
    <x v="2"/>
    <n v="2"/>
    <x v="0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  <x v="1"/>
    <x v="0"/>
    <x v="1"/>
  </r>
  <r>
    <x v="1"/>
    <x v="1"/>
    <s v="Travel_Rarely"/>
    <n v="465"/>
    <x v="1"/>
    <n v="6"/>
    <x v="1"/>
    <s v="Life Sciences"/>
    <n v="1"/>
    <n v="1661"/>
    <n v="3"/>
    <x v="0"/>
    <n v="41"/>
    <n v="2"/>
    <n v="4"/>
    <x v="4"/>
    <n v="3"/>
    <x v="1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  <x v="0"/>
    <x v="0"/>
    <x v="1"/>
  </r>
  <r>
    <x v="9"/>
    <x v="1"/>
    <s v="Non-Travel"/>
    <n v="894"/>
    <x v="1"/>
    <n v="1"/>
    <x v="2"/>
    <s v="Medical"/>
    <n v="1"/>
    <n v="1662"/>
    <n v="4"/>
    <x v="0"/>
    <n v="33"/>
    <n v="2"/>
    <n v="2"/>
    <x v="3"/>
    <n v="3"/>
    <x v="1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  <x v="0"/>
    <x v="2"/>
    <x v="1"/>
  </r>
  <r>
    <x v="9"/>
    <x v="1"/>
    <s v="Travel_Rarely"/>
    <n v="1040"/>
    <x v="1"/>
    <n v="3"/>
    <x v="0"/>
    <s v="Life Sciences"/>
    <n v="1"/>
    <n v="1664"/>
    <n v="4"/>
    <x v="1"/>
    <n v="79"/>
    <n v="4"/>
    <n v="2"/>
    <x v="4"/>
    <n v="1"/>
    <x v="2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  <x v="1"/>
    <x v="0"/>
    <x v="1"/>
  </r>
  <r>
    <x v="33"/>
    <x v="1"/>
    <s v="Travel_Rarely"/>
    <n v="584"/>
    <x v="1"/>
    <n v="22"/>
    <x v="4"/>
    <s v="Medical"/>
    <n v="1"/>
    <n v="1665"/>
    <n v="2"/>
    <x v="0"/>
    <n v="91"/>
    <n v="3"/>
    <n v="4"/>
    <x v="5"/>
    <n v="3"/>
    <x v="1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  <x v="0"/>
    <x v="2"/>
    <x v="1"/>
  </r>
  <r>
    <x v="23"/>
    <x v="1"/>
    <s v="Travel_Rarely"/>
    <n v="1291"/>
    <x v="1"/>
    <n v="15"/>
    <x v="0"/>
    <s v="Life Sciences"/>
    <n v="1"/>
    <n v="1666"/>
    <n v="3"/>
    <x v="1"/>
    <n v="65"/>
    <n v="2"/>
    <n v="4"/>
    <x v="7"/>
    <n v="3"/>
    <x v="1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  <x v="1"/>
    <x v="0"/>
    <x v="1"/>
  </r>
  <r>
    <x v="10"/>
    <x v="0"/>
    <s v="Travel_Frequently"/>
    <n v="880"/>
    <x v="0"/>
    <n v="12"/>
    <x v="2"/>
    <s v="Other"/>
    <n v="1"/>
    <n v="1667"/>
    <n v="4"/>
    <x v="1"/>
    <n v="36"/>
    <n v="3"/>
    <n v="2"/>
    <x v="0"/>
    <n v="4"/>
    <x v="0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  <x v="1"/>
    <x v="1"/>
    <x v="0"/>
  </r>
  <r>
    <x v="8"/>
    <x v="1"/>
    <s v="Travel_Frequently"/>
    <n v="1189"/>
    <x v="1"/>
    <n v="1"/>
    <x v="3"/>
    <s v="Life Sciences"/>
    <n v="1"/>
    <n v="1668"/>
    <n v="4"/>
    <x v="1"/>
    <n v="90"/>
    <n v="3"/>
    <n v="2"/>
    <x v="1"/>
    <n v="4"/>
    <x v="1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  <x v="1"/>
    <x v="0"/>
    <x v="1"/>
  </r>
  <r>
    <x v="11"/>
    <x v="1"/>
    <s v="Travel_Rarely"/>
    <n v="991"/>
    <x v="0"/>
    <n v="5"/>
    <x v="3"/>
    <s v="Medical"/>
    <n v="1"/>
    <n v="1669"/>
    <n v="1"/>
    <x v="1"/>
    <n v="43"/>
    <n v="2"/>
    <n v="2"/>
    <x v="0"/>
    <n v="2"/>
    <x v="2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  <x v="1"/>
    <x v="2"/>
    <x v="0"/>
  </r>
  <r>
    <x v="3"/>
    <x v="1"/>
    <s v="Travel_Rarely"/>
    <n v="392"/>
    <x v="0"/>
    <n v="2"/>
    <x v="2"/>
    <s v="Medical"/>
    <n v="1"/>
    <n v="1670"/>
    <n v="4"/>
    <x v="1"/>
    <n v="93"/>
    <n v="3"/>
    <n v="2"/>
    <x v="0"/>
    <n v="4"/>
    <x v="2"/>
    <n v="5505"/>
    <n v="3921"/>
    <n v="1"/>
    <s v="Y"/>
    <s v="No"/>
    <n v="14"/>
    <n v="3"/>
    <n v="3"/>
    <n v="80"/>
    <n v="2"/>
    <n v="6"/>
    <n v="5"/>
    <n v="3"/>
    <n v="6"/>
    <n v="2"/>
    <n v="0"/>
    <n v="4"/>
    <m/>
    <x v="1"/>
    <x v="2"/>
    <x v="0"/>
  </r>
  <r>
    <x v="5"/>
    <x v="1"/>
    <s v="Travel_Rarely"/>
    <n v="977"/>
    <x v="1"/>
    <n v="2"/>
    <x v="3"/>
    <s v="Medical"/>
    <n v="1"/>
    <n v="1671"/>
    <n v="4"/>
    <x v="1"/>
    <n v="45"/>
    <n v="3"/>
    <n v="2"/>
    <x v="1"/>
    <n v="2"/>
    <x v="2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  <x v="1"/>
    <x v="2"/>
    <x v="1"/>
  </r>
  <r>
    <x v="12"/>
    <x v="1"/>
    <s v="Travel_Rarely"/>
    <n v="1112"/>
    <x v="0"/>
    <n v="5"/>
    <x v="2"/>
    <s v="Life Sciences"/>
    <n v="1"/>
    <n v="1673"/>
    <n v="1"/>
    <x v="0"/>
    <n v="67"/>
    <n v="3"/>
    <n v="2"/>
    <x v="0"/>
    <n v="4"/>
    <x v="1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  <x v="0"/>
    <x v="0"/>
    <x v="0"/>
  </r>
  <r>
    <x v="1"/>
    <x v="1"/>
    <s v="Travel_Rarely"/>
    <n v="464"/>
    <x v="1"/>
    <n v="16"/>
    <x v="3"/>
    <s v="Medical"/>
    <n v="1"/>
    <n v="1674"/>
    <n v="4"/>
    <x v="0"/>
    <n v="74"/>
    <n v="3"/>
    <n v="1"/>
    <x v="2"/>
    <n v="1"/>
    <x v="2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  <x v="0"/>
    <x v="2"/>
    <x v="1"/>
  </r>
  <r>
    <x v="8"/>
    <x v="1"/>
    <s v="Travel_Frequently"/>
    <n v="148"/>
    <x v="1"/>
    <n v="2"/>
    <x v="3"/>
    <s v="Medical"/>
    <n v="1"/>
    <n v="1675"/>
    <n v="4"/>
    <x v="0"/>
    <n v="42"/>
    <n v="2"/>
    <n v="1"/>
    <x v="2"/>
    <n v="2"/>
    <x v="0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  <x v="0"/>
    <x v="2"/>
    <x v="1"/>
  </r>
  <r>
    <x v="40"/>
    <x v="1"/>
    <s v="Travel_Rarely"/>
    <n v="1225"/>
    <x v="0"/>
    <n v="2"/>
    <x v="2"/>
    <s v="Life Sciences"/>
    <n v="1"/>
    <n v="1676"/>
    <n v="2"/>
    <x v="0"/>
    <n v="47"/>
    <n v="4"/>
    <n v="4"/>
    <x v="5"/>
    <n v="2"/>
    <x v="2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  <x v="0"/>
    <x v="0"/>
    <x v="0"/>
  </r>
  <r>
    <x v="1"/>
    <x v="1"/>
    <s v="Travel_Rarely"/>
    <n v="809"/>
    <x v="1"/>
    <n v="1"/>
    <x v="3"/>
    <s v="Life Sciences"/>
    <n v="1"/>
    <n v="1677"/>
    <n v="3"/>
    <x v="1"/>
    <n v="36"/>
    <n v="3"/>
    <n v="4"/>
    <x v="5"/>
    <n v="3"/>
    <x v="0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  <x v="1"/>
    <x v="0"/>
    <x v="1"/>
  </r>
  <r>
    <x v="0"/>
    <x v="1"/>
    <s v="Travel_Rarely"/>
    <n v="1206"/>
    <x v="0"/>
    <n v="23"/>
    <x v="0"/>
    <s v="Life Sciences"/>
    <n v="1"/>
    <n v="1678"/>
    <n v="4"/>
    <x v="1"/>
    <n v="80"/>
    <n v="3"/>
    <n v="3"/>
    <x v="0"/>
    <n v="3"/>
    <x v="0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  <x v="1"/>
    <x v="0"/>
    <x v="0"/>
  </r>
  <r>
    <x v="35"/>
    <x v="1"/>
    <s v="Travel_Rarely"/>
    <n v="727"/>
    <x v="0"/>
    <n v="9"/>
    <x v="1"/>
    <s v="Life Sciences"/>
    <n v="1"/>
    <n v="1680"/>
    <n v="4"/>
    <x v="1"/>
    <n v="54"/>
    <n v="3"/>
    <n v="1"/>
    <x v="6"/>
    <n v="1"/>
    <x v="0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  <x v="1"/>
    <x v="0"/>
    <x v="0"/>
  </r>
  <r>
    <x v="3"/>
    <x v="1"/>
    <s v="Non-Travel"/>
    <n v="530"/>
    <x v="0"/>
    <n v="16"/>
    <x v="3"/>
    <s v="Life Sciences"/>
    <n v="1"/>
    <n v="1681"/>
    <n v="3"/>
    <x v="0"/>
    <n v="36"/>
    <n v="3"/>
    <n v="2"/>
    <x v="0"/>
    <n v="4"/>
    <x v="2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  <x v="0"/>
    <x v="0"/>
    <x v="0"/>
  </r>
  <r>
    <x v="9"/>
    <x v="1"/>
    <s v="Travel_Rarely"/>
    <n v="1351"/>
    <x v="1"/>
    <n v="26"/>
    <x v="2"/>
    <s v="Life Sciences"/>
    <n v="1"/>
    <n v="1682"/>
    <n v="1"/>
    <x v="1"/>
    <n v="80"/>
    <n v="3"/>
    <n v="2"/>
    <x v="4"/>
    <n v="3"/>
    <x v="1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  <x v="1"/>
    <x v="0"/>
    <x v="1"/>
  </r>
  <r>
    <x v="20"/>
    <x v="1"/>
    <s v="Travel_Rarely"/>
    <n v="528"/>
    <x v="2"/>
    <n v="1"/>
    <x v="3"/>
    <s v="Life Sciences"/>
    <n v="1"/>
    <n v="1683"/>
    <n v="3"/>
    <x v="0"/>
    <n v="44"/>
    <n v="3"/>
    <n v="1"/>
    <x v="8"/>
    <n v="4"/>
    <x v="2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  <x v="0"/>
    <x v="0"/>
    <x v="2"/>
  </r>
  <r>
    <x v="30"/>
    <x v="0"/>
    <s v="Travel_Rarely"/>
    <n v="1320"/>
    <x v="1"/>
    <n v="8"/>
    <x v="1"/>
    <s v="Medical"/>
    <n v="1"/>
    <n v="1684"/>
    <n v="4"/>
    <x v="1"/>
    <n v="93"/>
    <n v="2"/>
    <n v="1"/>
    <x v="2"/>
    <n v="3"/>
    <x v="0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  <x v="1"/>
    <x v="2"/>
    <x v="1"/>
  </r>
  <r>
    <x v="8"/>
    <x v="1"/>
    <s v="Travel_Rarely"/>
    <n v="1495"/>
    <x v="1"/>
    <n v="4"/>
    <x v="0"/>
    <s v="Medical"/>
    <n v="1"/>
    <n v="1687"/>
    <n v="4"/>
    <x v="0"/>
    <n v="87"/>
    <n v="3"/>
    <n v="1"/>
    <x v="2"/>
    <n v="3"/>
    <x v="1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  <x v="0"/>
    <x v="2"/>
    <x v="1"/>
  </r>
  <r>
    <x v="16"/>
    <x v="1"/>
    <s v="Travel_Rarely"/>
    <n v="1395"/>
    <x v="1"/>
    <n v="24"/>
    <x v="2"/>
    <s v="Medical"/>
    <n v="1"/>
    <n v="1689"/>
    <n v="2"/>
    <x v="1"/>
    <n v="48"/>
    <n v="4"/>
    <n v="3"/>
    <x v="4"/>
    <n v="4"/>
    <x v="1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  <x v="1"/>
    <x v="2"/>
    <x v="1"/>
  </r>
  <r>
    <x v="26"/>
    <x v="0"/>
    <s v="Travel_Frequently"/>
    <n v="708"/>
    <x v="0"/>
    <n v="7"/>
    <x v="0"/>
    <s v="Medical"/>
    <n v="1"/>
    <n v="1691"/>
    <n v="4"/>
    <x v="0"/>
    <n v="95"/>
    <n v="3"/>
    <n v="1"/>
    <x v="6"/>
    <n v="3"/>
    <x v="1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  <x v="0"/>
    <x v="2"/>
    <x v="0"/>
  </r>
  <r>
    <x v="5"/>
    <x v="0"/>
    <s v="Travel_Rarely"/>
    <n v="1259"/>
    <x v="1"/>
    <n v="2"/>
    <x v="2"/>
    <s v="Life Sciences"/>
    <n v="1"/>
    <n v="1692"/>
    <n v="4"/>
    <x v="1"/>
    <n v="95"/>
    <n v="3"/>
    <n v="1"/>
    <x v="2"/>
    <n v="2"/>
    <x v="0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  <x v="1"/>
    <x v="0"/>
    <x v="1"/>
  </r>
  <r>
    <x v="25"/>
    <x v="1"/>
    <s v="Non-Travel"/>
    <n v="786"/>
    <x v="1"/>
    <n v="7"/>
    <x v="3"/>
    <s v="Medical"/>
    <n v="1"/>
    <n v="1693"/>
    <n v="4"/>
    <x v="1"/>
    <n v="76"/>
    <n v="3"/>
    <n v="1"/>
    <x v="2"/>
    <n v="4"/>
    <x v="0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  <x v="1"/>
    <x v="2"/>
    <x v="1"/>
  </r>
  <r>
    <x v="27"/>
    <x v="1"/>
    <s v="Travel_Rarely"/>
    <n v="1441"/>
    <x v="1"/>
    <n v="22"/>
    <x v="3"/>
    <s v="Technical Degree"/>
    <n v="1"/>
    <n v="1694"/>
    <n v="1"/>
    <x v="1"/>
    <n v="94"/>
    <n v="2"/>
    <n v="1"/>
    <x v="1"/>
    <n v="2"/>
    <x v="2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  <x v="1"/>
    <x v="4"/>
    <x v="1"/>
  </r>
  <r>
    <x v="13"/>
    <x v="1"/>
    <s v="Travel_Rarely"/>
    <n v="1157"/>
    <x v="1"/>
    <n v="5"/>
    <x v="0"/>
    <s v="Medical"/>
    <n v="1"/>
    <n v="1696"/>
    <n v="2"/>
    <x v="1"/>
    <n v="57"/>
    <n v="2"/>
    <n v="2"/>
    <x v="2"/>
    <n v="4"/>
    <x v="1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  <x v="1"/>
    <x v="2"/>
    <x v="1"/>
  </r>
  <r>
    <x v="42"/>
    <x v="1"/>
    <s v="Travel_Rarely"/>
    <n v="370"/>
    <x v="1"/>
    <n v="1"/>
    <x v="2"/>
    <s v="Medical"/>
    <n v="1"/>
    <n v="1697"/>
    <n v="3"/>
    <x v="1"/>
    <n v="92"/>
    <n v="1"/>
    <n v="3"/>
    <x v="4"/>
    <n v="4"/>
    <x v="2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  <x v="1"/>
    <x v="2"/>
    <x v="1"/>
  </r>
  <r>
    <x v="3"/>
    <x v="1"/>
    <s v="Travel_Rarely"/>
    <n v="267"/>
    <x v="1"/>
    <n v="21"/>
    <x v="3"/>
    <s v="Medical"/>
    <n v="1"/>
    <n v="1698"/>
    <n v="2"/>
    <x v="1"/>
    <n v="79"/>
    <n v="4"/>
    <n v="1"/>
    <x v="2"/>
    <n v="2"/>
    <x v="1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  <x v="1"/>
    <x v="2"/>
    <x v="1"/>
  </r>
  <r>
    <x v="2"/>
    <x v="1"/>
    <s v="Travel_Frequently"/>
    <n v="1278"/>
    <x v="0"/>
    <n v="1"/>
    <x v="2"/>
    <s v="Medical"/>
    <n v="1"/>
    <n v="1700"/>
    <n v="3"/>
    <x v="1"/>
    <n v="31"/>
    <n v="1"/>
    <n v="2"/>
    <x v="0"/>
    <n v="4"/>
    <x v="2"/>
    <n v="9525"/>
    <n v="7677"/>
    <n v="1"/>
    <s v="Y"/>
    <s v="No"/>
    <n v="14"/>
    <n v="3"/>
    <n v="3"/>
    <n v="80"/>
    <n v="2"/>
    <n v="6"/>
    <n v="2"/>
    <n v="2"/>
    <n v="6"/>
    <n v="3"/>
    <n v="1"/>
    <n v="3"/>
    <m/>
    <x v="1"/>
    <x v="2"/>
    <x v="0"/>
  </r>
  <r>
    <x v="13"/>
    <x v="1"/>
    <s v="Travel_Rarely"/>
    <n v="678"/>
    <x v="1"/>
    <n v="19"/>
    <x v="3"/>
    <s v="Life Sciences"/>
    <n v="1"/>
    <n v="1701"/>
    <n v="2"/>
    <x v="0"/>
    <n v="35"/>
    <n v="2"/>
    <n v="1"/>
    <x v="1"/>
    <n v="4"/>
    <x v="1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  <x v="0"/>
    <x v="0"/>
    <x v="1"/>
  </r>
  <r>
    <x v="30"/>
    <x v="0"/>
    <s v="Travel_Rarely"/>
    <n v="427"/>
    <x v="0"/>
    <n v="7"/>
    <x v="3"/>
    <s v="Life Sciences"/>
    <n v="1"/>
    <n v="1702"/>
    <n v="3"/>
    <x v="1"/>
    <n v="99"/>
    <n v="3"/>
    <n v="1"/>
    <x v="6"/>
    <n v="4"/>
    <x v="2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  <x v="1"/>
    <x v="0"/>
    <x v="0"/>
  </r>
  <r>
    <x v="20"/>
    <x v="1"/>
    <s v="Travel_Rarely"/>
    <n v="921"/>
    <x v="1"/>
    <n v="2"/>
    <x v="3"/>
    <s v="Life Sciences"/>
    <n v="1"/>
    <n v="1703"/>
    <n v="3"/>
    <x v="0"/>
    <n v="96"/>
    <n v="4"/>
    <n v="3"/>
    <x v="4"/>
    <n v="4"/>
    <x v="1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  <x v="0"/>
    <x v="0"/>
    <x v="1"/>
  </r>
  <r>
    <x v="10"/>
    <x v="1"/>
    <s v="Travel_Frequently"/>
    <n v="146"/>
    <x v="1"/>
    <n v="2"/>
    <x v="2"/>
    <s v="Medical"/>
    <n v="1"/>
    <n v="1704"/>
    <n v="1"/>
    <x v="1"/>
    <n v="79"/>
    <n v="2"/>
    <n v="1"/>
    <x v="1"/>
    <n v="4"/>
    <x v="0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  <x v="1"/>
    <x v="2"/>
    <x v="1"/>
  </r>
  <r>
    <x v="23"/>
    <x v="1"/>
    <s v="Travel_Rarely"/>
    <n v="1179"/>
    <x v="0"/>
    <n v="2"/>
    <x v="3"/>
    <s v="Medical"/>
    <n v="1"/>
    <n v="1706"/>
    <n v="4"/>
    <x v="1"/>
    <n v="73"/>
    <n v="3"/>
    <n v="2"/>
    <x v="0"/>
    <n v="4"/>
    <x v="1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  <x v="1"/>
    <x v="2"/>
    <x v="0"/>
  </r>
  <r>
    <x v="17"/>
    <x v="1"/>
    <s v="Travel_Rarely"/>
    <n v="581"/>
    <x v="1"/>
    <n v="9"/>
    <x v="3"/>
    <s v="Medical"/>
    <n v="1"/>
    <n v="1707"/>
    <n v="3"/>
    <x v="1"/>
    <n v="62"/>
    <n v="4"/>
    <n v="1"/>
    <x v="1"/>
    <n v="3"/>
    <x v="1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  <x v="1"/>
    <x v="2"/>
    <x v="1"/>
  </r>
  <r>
    <x v="0"/>
    <x v="1"/>
    <s v="Travel_Rarely"/>
    <n v="918"/>
    <x v="0"/>
    <n v="6"/>
    <x v="3"/>
    <s v="Marketing"/>
    <n v="1"/>
    <n v="1708"/>
    <n v="4"/>
    <x v="1"/>
    <n v="35"/>
    <n v="3"/>
    <n v="3"/>
    <x v="0"/>
    <n v="3"/>
    <x v="0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  <x v="1"/>
    <x v="3"/>
    <x v="0"/>
  </r>
  <r>
    <x v="11"/>
    <x v="1"/>
    <s v="Travel_Rarely"/>
    <n v="1082"/>
    <x v="1"/>
    <n v="9"/>
    <x v="2"/>
    <s v="Medical"/>
    <n v="1"/>
    <n v="1709"/>
    <n v="4"/>
    <x v="0"/>
    <n v="43"/>
    <n v="3"/>
    <n v="1"/>
    <x v="2"/>
    <n v="3"/>
    <x v="1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  <x v="0"/>
    <x v="2"/>
    <x v="1"/>
  </r>
  <r>
    <x v="9"/>
    <x v="1"/>
    <s v="Travel_Rarely"/>
    <n v="530"/>
    <x v="0"/>
    <n v="2"/>
    <x v="2"/>
    <s v="Life Sciences"/>
    <n v="1"/>
    <n v="1710"/>
    <n v="3"/>
    <x v="0"/>
    <n v="51"/>
    <n v="3"/>
    <n v="2"/>
    <x v="6"/>
    <n v="4"/>
    <x v="0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  <x v="0"/>
    <x v="0"/>
    <x v="0"/>
  </r>
  <r>
    <x v="28"/>
    <x v="1"/>
    <s v="Non-Travel"/>
    <n v="1238"/>
    <x v="1"/>
    <n v="1"/>
    <x v="1"/>
    <s v="Life Sciences"/>
    <n v="1"/>
    <n v="1712"/>
    <n v="3"/>
    <x v="1"/>
    <n v="74"/>
    <n v="2"/>
    <n v="3"/>
    <x v="4"/>
    <n v="3"/>
    <x v="1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  <x v="1"/>
    <x v="0"/>
    <x v="1"/>
  </r>
  <r>
    <x v="17"/>
    <x v="0"/>
    <s v="Travel_Rarely"/>
    <n v="240"/>
    <x v="2"/>
    <n v="22"/>
    <x v="1"/>
    <s v="Human Resources"/>
    <n v="1"/>
    <n v="1714"/>
    <n v="4"/>
    <x v="1"/>
    <n v="58"/>
    <n v="1"/>
    <n v="1"/>
    <x v="8"/>
    <n v="3"/>
    <x v="1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  <x v="1"/>
    <x v="5"/>
    <x v="2"/>
  </r>
  <r>
    <x v="40"/>
    <x v="0"/>
    <s v="Travel_Frequently"/>
    <n v="1093"/>
    <x v="0"/>
    <n v="9"/>
    <x v="3"/>
    <s v="Life Sciences"/>
    <n v="1"/>
    <n v="1716"/>
    <n v="3"/>
    <x v="1"/>
    <n v="82"/>
    <n v="1"/>
    <n v="4"/>
    <x v="0"/>
    <n v="3"/>
    <x v="1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  <x v="1"/>
    <x v="0"/>
    <x v="0"/>
  </r>
  <r>
    <x v="25"/>
    <x v="1"/>
    <s v="Travel_Rarely"/>
    <n v="390"/>
    <x v="1"/>
    <n v="17"/>
    <x v="2"/>
    <s v="Medical"/>
    <n v="1"/>
    <n v="1718"/>
    <n v="4"/>
    <x v="1"/>
    <n v="62"/>
    <n v="1"/>
    <n v="1"/>
    <x v="2"/>
    <n v="3"/>
    <x v="1"/>
    <n v="2305"/>
    <n v="6217"/>
    <n v="1"/>
    <s v="Y"/>
    <s v="No"/>
    <n v="15"/>
    <n v="3"/>
    <n v="3"/>
    <n v="80"/>
    <n v="3"/>
    <n v="3"/>
    <n v="3"/>
    <n v="4"/>
    <n v="3"/>
    <n v="2"/>
    <n v="0"/>
    <n v="2"/>
    <m/>
    <x v="1"/>
    <x v="2"/>
    <x v="1"/>
  </r>
  <r>
    <x v="28"/>
    <x v="1"/>
    <s v="Travel_Rarely"/>
    <n v="1005"/>
    <x v="1"/>
    <n v="28"/>
    <x v="0"/>
    <s v="Technical Degree"/>
    <n v="1"/>
    <n v="1719"/>
    <n v="4"/>
    <x v="0"/>
    <n v="48"/>
    <n v="2"/>
    <n v="4"/>
    <x v="7"/>
    <n v="2"/>
    <x v="0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  <x v="0"/>
    <x v="4"/>
    <x v="1"/>
  </r>
  <r>
    <x v="5"/>
    <x v="1"/>
    <s v="Travel_Frequently"/>
    <n v="585"/>
    <x v="1"/>
    <n v="10"/>
    <x v="3"/>
    <s v="Life Sciences"/>
    <n v="1"/>
    <n v="1720"/>
    <n v="1"/>
    <x v="1"/>
    <n v="56"/>
    <n v="3"/>
    <n v="1"/>
    <x v="1"/>
    <n v="3"/>
    <x v="1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  <x v="1"/>
    <x v="0"/>
    <x v="1"/>
  </r>
  <r>
    <x v="12"/>
    <x v="1"/>
    <s v="Travel_Rarely"/>
    <n v="741"/>
    <x v="1"/>
    <n v="2"/>
    <x v="2"/>
    <s v="Life Sciences"/>
    <n v="1"/>
    <n v="1721"/>
    <n v="2"/>
    <x v="1"/>
    <n v="69"/>
    <n v="3"/>
    <n v="1"/>
    <x v="2"/>
    <n v="3"/>
    <x v="1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  <x v="1"/>
    <x v="0"/>
    <x v="1"/>
  </r>
  <r>
    <x v="0"/>
    <x v="1"/>
    <s v="Non-Travel"/>
    <n v="552"/>
    <x v="2"/>
    <n v="4"/>
    <x v="3"/>
    <s v="Human Resources"/>
    <n v="1"/>
    <n v="1722"/>
    <n v="3"/>
    <x v="1"/>
    <n v="60"/>
    <n v="1"/>
    <n v="2"/>
    <x v="8"/>
    <n v="2"/>
    <x v="1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  <x v="1"/>
    <x v="5"/>
    <x v="2"/>
  </r>
  <r>
    <x v="32"/>
    <x v="1"/>
    <s v="Travel_Rarely"/>
    <n v="369"/>
    <x v="1"/>
    <n v="8"/>
    <x v="0"/>
    <s v="Life Sciences"/>
    <n v="1"/>
    <n v="1724"/>
    <n v="2"/>
    <x v="0"/>
    <n v="92"/>
    <n v="3"/>
    <n v="2"/>
    <x v="3"/>
    <n v="1"/>
    <x v="1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  <x v="0"/>
    <x v="0"/>
    <x v="1"/>
  </r>
  <r>
    <x v="17"/>
    <x v="1"/>
    <s v="Travel_Rarely"/>
    <n v="506"/>
    <x v="1"/>
    <n v="29"/>
    <x v="1"/>
    <s v="Medical"/>
    <n v="1"/>
    <n v="1725"/>
    <n v="2"/>
    <x v="1"/>
    <n v="91"/>
    <n v="3"/>
    <n v="1"/>
    <x v="2"/>
    <n v="1"/>
    <x v="2"/>
    <n v="3907"/>
    <n v="3622"/>
    <n v="1"/>
    <s v="Y"/>
    <s v="No"/>
    <n v="13"/>
    <n v="3"/>
    <n v="2"/>
    <n v="80"/>
    <n v="3"/>
    <n v="6"/>
    <n v="2"/>
    <n v="4"/>
    <n v="6"/>
    <n v="2"/>
    <n v="1"/>
    <n v="2"/>
    <m/>
    <x v="1"/>
    <x v="2"/>
    <x v="1"/>
  </r>
  <r>
    <x v="21"/>
    <x v="1"/>
    <s v="Travel_Rarely"/>
    <n v="717"/>
    <x v="1"/>
    <n v="13"/>
    <x v="2"/>
    <s v="Life Sciences"/>
    <n v="1"/>
    <n v="1727"/>
    <n v="3"/>
    <x v="1"/>
    <n v="34"/>
    <n v="3"/>
    <n v="2"/>
    <x v="4"/>
    <n v="2"/>
    <x v="0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  <x v="1"/>
    <x v="0"/>
    <x v="1"/>
  </r>
  <r>
    <x v="10"/>
    <x v="1"/>
    <s v="Travel_Rarely"/>
    <n v="1370"/>
    <x v="1"/>
    <n v="27"/>
    <x v="2"/>
    <s v="Life Sciences"/>
    <n v="1"/>
    <n v="1728"/>
    <n v="4"/>
    <x v="1"/>
    <n v="49"/>
    <n v="3"/>
    <n v="2"/>
    <x v="3"/>
    <n v="3"/>
    <x v="1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  <x v="1"/>
    <x v="0"/>
    <x v="1"/>
  </r>
  <r>
    <x v="7"/>
    <x v="1"/>
    <s v="Travel_Rarely"/>
    <n v="793"/>
    <x v="1"/>
    <n v="16"/>
    <x v="1"/>
    <s v="Life Sciences"/>
    <n v="1"/>
    <n v="1729"/>
    <n v="2"/>
    <x v="1"/>
    <n v="33"/>
    <n v="3"/>
    <n v="1"/>
    <x v="1"/>
    <n v="4"/>
    <x v="1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  <x v="1"/>
    <x v="0"/>
    <x v="1"/>
  </r>
  <r>
    <x v="40"/>
    <x v="1"/>
    <s v="Non-Travel"/>
    <n v="543"/>
    <x v="0"/>
    <n v="2"/>
    <x v="2"/>
    <s v="Marketing"/>
    <n v="1"/>
    <n v="1731"/>
    <n v="3"/>
    <x v="1"/>
    <n v="87"/>
    <n v="3"/>
    <n v="2"/>
    <x v="0"/>
    <n v="2"/>
    <x v="1"/>
    <n v="4978"/>
    <n v="3536"/>
    <n v="7"/>
    <s v="Y"/>
    <s v="No"/>
    <n v="11"/>
    <n v="3"/>
    <n v="4"/>
    <n v="80"/>
    <n v="1"/>
    <n v="4"/>
    <n v="3"/>
    <n v="1"/>
    <n v="1"/>
    <n v="0"/>
    <n v="0"/>
    <n v="0"/>
    <m/>
    <x v="1"/>
    <x v="3"/>
    <x v="0"/>
  </r>
  <r>
    <x v="21"/>
    <x v="1"/>
    <s v="Travel_Rarely"/>
    <n v="1277"/>
    <x v="0"/>
    <n v="2"/>
    <x v="3"/>
    <s v="Life Sciences"/>
    <n v="1"/>
    <n v="1732"/>
    <n v="3"/>
    <x v="1"/>
    <n v="74"/>
    <n v="3"/>
    <n v="3"/>
    <x v="0"/>
    <n v="4"/>
    <x v="2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  <x v="1"/>
    <x v="0"/>
    <x v="0"/>
  </r>
  <r>
    <x v="9"/>
    <x v="0"/>
    <s v="Travel_Rarely"/>
    <n v="1456"/>
    <x v="0"/>
    <n v="13"/>
    <x v="4"/>
    <s v="Marketing"/>
    <n v="1"/>
    <n v="1733"/>
    <n v="2"/>
    <x v="1"/>
    <n v="96"/>
    <n v="2"/>
    <n v="2"/>
    <x v="0"/>
    <n v="1"/>
    <x v="2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  <x v="1"/>
    <x v="3"/>
    <x v="0"/>
  </r>
  <r>
    <x v="5"/>
    <x v="0"/>
    <s v="Travel_Rarely"/>
    <n v="964"/>
    <x v="0"/>
    <n v="1"/>
    <x v="0"/>
    <s v="Life Sciences"/>
    <n v="1"/>
    <n v="1734"/>
    <n v="1"/>
    <x v="1"/>
    <n v="34"/>
    <n v="1"/>
    <n v="2"/>
    <x v="0"/>
    <n v="2"/>
    <x v="0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  <x v="1"/>
    <x v="0"/>
    <x v="0"/>
  </r>
  <r>
    <x v="30"/>
    <x v="1"/>
    <s v="Travel_Rarely"/>
    <n v="160"/>
    <x v="1"/>
    <n v="4"/>
    <x v="1"/>
    <s v="Medical"/>
    <n v="1"/>
    <n v="1735"/>
    <n v="3"/>
    <x v="0"/>
    <n v="51"/>
    <n v="3"/>
    <n v="1"/>
    <x v="2"/>
    <n v="2"/>
    <x v="0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  <x v="0"/>
    <x v="2"/>
    <x v="1"/>
  </r>
  <r>
    <x v="12"/>
    <x v="1"/>
    <s v="Travel_Frequently"/>
    <n v="163"/>
    <x v="1"/>
    <n v="24"/>
    <x v="1"/>
    <s v="Technical Degree"/>
    <n v="1"/>
    <n v="1736"/>
    <n v="4"/>
    <x v="0"/>
    <n v="30"/>
    <n v="3"/>
    <n v="2"/>
    <x v="3"/>
    <n v="4"/>
    <x v="0"/>
    <n v="5238"/>
    <n v="6670"/>
    <n v="2"/>
    <s v="Y"/>
    <s v="No"/>
    <n v="20"/>
    <n v="4"/>
    <n v="4"/>
    <n v="80"/>
    <n v="0"/>
    <n v="9"/>
    <n v="3"/>
    <n v="2"/>
    <n v="5"/>
    <n v="4"/>
    <n v="1"/>
    <n v="4"/>
    <m/>
    <x v="0"/>
    <x v="4"/>
    <x v="1"/>
  </r>
  <r>
    <x v="22"/>
    <x v="1"/>
    <s v="Non-Travel"/>
    <n v="792"/>
    <x v="1"/>
    <n v="1"/>
    <x v="3"/>
    <s v="Life Sciences"/>
    <n v="1"/>
    <n v="1737"/>
    <n v="4"/>
    <x v="1"/>
    <n v="77"/>
    <n v="3"/>
    <n v="2"/>
    <x v="2"/>
    <n v="4"/>
    <x v="1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  <x v="1"/>
    <x v="0"/>
    <x v="1"/>
  </r>
  <r>
    <x v="5"/>
    <x v="1"/>
    <s v="Travel_Rarely"/>
    <n v="371"/>
    <x v="0"/>
    <n v="19"/>
    <x v="3"/>
    <s v="Life Sciences"/>
    <n v="1"/>
    <n v="1739"/>
    <n v="4"/>
    <x v="1"/>
    <n v="80"/>
    <n v="1"/>
    <n v="3"/>
    <x v="0"/>
    <n v="3"/>
    <x v="1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  <x v="1"/>
    <x v="0"/>
    <x v="0"/>
  </r>
  <r>
    <x v="32"/>
    <x v="1"/>
    <s v="Travel_Rarely"/>
    <n v="611"/>
    <x v="0"/>
    <n v="7"/>
    <x v="2"/>
    <s v="Medical"/>
    <n v="1"/>
    <n v="1740"/>
    <n v="2"/>
    <x v="1"/>
    <n v="88"/>
    <n v="3"/>
    <n v="5"/>
    <x v="5"/>
    <n v="2"/>
    <x v="0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  <x v="1"/>
    <x v="2"/>
    <x v="0"/>
  </r>
  <r>
    <x v="28"/>
    <x v="1"/>
    <s v="Travel_Rarely"/>
    <n v="176"/>
    <x v="2"/>
    <n v="4"/>
    <x v="3"/>
    <s v="Life Sciences"/>
    <n v="1"/>
    <n v="1744"/>
    <n v="3"/>
    <x v="0"/>
    <n v="56"/>
    <n v="1"/>
    <n v="3"/>
    <x v="8"/>
    <n v="3"/>
    <x v="1"/>
    <n v="9756"/>
    <n v="6595"/>
    <n v="4"/>
    <s v="Y"/>
    <s v="No"/>
    <n v="21"/>
    <n v="4"/>
    <n v="3"/>
    <n v="80"/>
    <n v="2"/>
    <n v="9"/>
    <n v="2"/>
    <n v="4"/>
    <n v="5"/>
    <n v="0"/>
    <n v="0"/>
    <n v="3"/>
    <m/>
    <x v="0"/>
    <x v="0"/>
    <x v="2"/>
  </r>
  <r>
    <x v="7"/>
    <x v="1"/>
    <s v="Travel_Frequently"/>
    <n v="1312"/>
    <x v="1"/>
    <n v="2"/>
    <x v="2"/>
    <s v="Technical Degree"/>
    <n v="1"/>
    <n v="1745"/>
    <n v="4"/>
    <x v="0"/>
    <n v="78"/>
    <n v="2"/>
    <n v="1"/>
    <x v="1"/>
    <n v="1"/>
    <x v="0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  <x v="0"/>
    <x v="4"/>
    <x v="1"/>
  </r>
  <r>
    <x v="17"/>
    <x v="1"/>
    <s v="Travel_Frequently"/>
    <n v="897"/>
    <x v="2"/>
    <n v="10"/>
    <x v="3"/>
    <s v="Medical"/>
    <n v="1"/>
    <n v="1746"/>
    <n v="1"/>
    <x v="1"/>
    <n v="59"/>
    <n v="3"/>
    <n v="1"/>
    <x v="8"/>
    <n v="4"/>
    <x v="1"/>
    <n v="2145"/>
    <n v="2097"/>
    <n v="0"/>
    <s v="Y"/>
    <s v="No"/>
    <n v="14"/>
    <n v="3"/>
    <n v="4"/>
    <n v="80"/>
    <n v="1"/>
    <n v="3"/>
    <n v="2"/>
    <n v="3"/>
    <n v="2"/>
    <n v="2"/>
    <n v="2"/>
    <n v="1"/>
    <m/>
    <x v="1"/>
    <x v="2"/>
    <x v="2"/>
  </r>
  <r>
    <x v="7"/>
    <x v="0"/>
    <s v="Travel_Frequently"/>
    <n v="600"/>
    <x v="2"/>
    <n v="8"/>
    <x v="3"/>
    <s v="Human Resources"/>
    <n v="1"/>
    <n v="1747"/>
    <n v="3"/>
    <x v="0"/>
    <n v="66"/>
    <n v="2"/>
    <n v="1"/>
    <x v="8"/>
    <n v="4"/>
    <x v="2"/>
    <n v="2180"/>
    <n v="9732"/>
    <n v="6"/>
    <s v="Y"/>
    <s v="No"/>
    <n v="11"/>
    <n v="3"/>
    <n v="3"/>
    <n v="80"/>
    <n v="1"/>
    <n v="6"/>
    <n v="0"/>
    <n v="2"/>
    <n v="4"/>
    <n v="2"/>
    <n v="1"/>
    <n v="2"/>
    <m/>
    <x v="0"/>
    <x v="5"/>
    <x v="2"/>
  </r>
  <r>
    <x v="12"/>
    <x v="1"/>
    <s v="Travel_Rarely"/>
    <n v="1003"/>
    <x v="0"/>
    <n v="5"/>
    <x v="3"/>
    <s v="Technical Degree"/>
    <n v="1"/>
    <n v="1749"/>
    <n v="1"/>
    <x v="1"/>
    <n v="51"/>
    <n v="3"/>
    <n v="2"/>
    <x v="0"/>
    <n v="3"/>
    <x v="1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  <x v="1"/>
    <x v="4"/>
    <x v="0"/>
  </r>
  <r>
    <x v="4"/>
    <x v="1"/>
    <s v="Travel_Rarely"/>
    <n v="1054"/>
    <x v="1"/>
    <n v="8"/>
    <x v="3"/>
    <s v="Medical"/>
    <n v="1"/>
    <n v="1751"/>
    <n v="3"/>
    <x v="0"/>
    <n v="67"/>
    <n v="3"/>
    <n v="1"/>
    <x v="1"/>
    <n v="4"/>
    <x v="0"/>
    <n v="3445"/>
    <n v="6152"/>
    <n v="1"/>
    <s v="Y"/>
    <s v="No"/>
    <n v="11"/>
    <n v="3"/>
    <n v="3"/>
    <n v="80"/>
    <n v="0"/>
    <n v="6"/>
    <n v="5"/>
    <n v="2"/>
    <n v="6"/>
    <n v="2"/>
    <n v="1"/>
    <n v="4"/>
    <m/>
    <x v="0"/>
    <x v="2"/>
    <x v="1"/>
  </r>
  <r>
    <x v="11"/>
    <x v="0"/>
    <s v="Travel_Rarely"/>
    <n v="428"/>
    <x v="0"/>
    <n v="9"/>
    <x v="3"/>
    <s v="Marketing"/>
    <n v="1"/>
    <n v="1752"/>
    <n v="2"/>
    <x v="0"/>
    <n v="52"/>
    <n v="1"/>
    <n v="1"/>
    <x v="6"/>
    <n v="2"/>
    <x v="0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  <x v="0"/>
    <x v="3"/>
    <x v="0"/>
  </r>
  <r>
    <x v="11"/>
    <x v="1"/>
    <s v="Travel_Frequently"/>
    <n v="461"/>
    <x v="1"/>
    <n v="1"/>
    <x v="3"/>
    <s v="Life Sciences"/>
    <n v="1"/>
    <n v="1753"/>
    <n v="4"/>
    <x v="1"/>
    <n v="70"/>
    <n v="4"/>
    <n v="2"/>
    <x v="4"/>
    <n v="3"/>
    <x v="0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  <x v="1"/>
    <x v="0"/>
    <x v="1"/>
  </r>
  <r>
    <x v="7"/>
    <x v="1"/>
    <s v="Travel_Rarely"/>
    <n v="979"/>
    <x v="0"/>
    <n v="15"/>
    <x v="0"/>
    <s v="Marketing"/>
    <n v="1"/>
    <n v="1754"/>
    <n v="3"/>
    <x v="1"/>
    <n v="94"/>
    <n v="2"/>
    <n v="3"/>
    <x v="0"/>
    <n v="1"/>
    <x v="2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  <x v="1"/>
    <x v="3"/>
    <x v="0"/>
  </r>
  <r>
    <x v="13"/>
    <x v="1"/>
    <s v="Travel_Rarely"/>
    <n v="181"/>
    <x v="1"/>
    <n v="2"/>
    <x v="2"/>
    <s v="Medical"/>
    <n v="1"/>
    <n v="1755"/>
    <n v="4"/>
    <x v="1"/>
    <n v="97"/>
    <n v="4"/>
    <n v="1"/>
    <x v="1"/>
    <n v="4"/>
    <x v="1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  <x v="1"/>
    <x v="2"/>
    <x v="1"/>
  </r>
  <r>
    <x v="3"/>
    <x v="1"/>
    <s v="Non-Travel"/>
    <n v="1283"/>
    <x v="0"/>
    <n v="2"/>
    <x v="3"/>
    <s v="Marketing"/>
    <n v="1"/>
    <n v="1756"/>
    <n v="4"/>
    <x v="0"/>
    <n v="62"/>
    <n v="3"/>
    <n v="2"/>
    <x v="0"/>
    <n v="2"/>
    <x v="0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  <x v="0"/>
    <x v="3"/>
    <x v="0"/>
  </r>
  <r>
    <x v="1"/>
    <x v="1"/>
    <s v="Travel_Rarely"/>
    <n v="1313"/>
    <x v="0"/>
    <n v="11"/>
    <x v="2"/>
    <s v="Marketing"/>
    <n v="1"/>
    <n v="1757"/>
    <n v="4"/>
    <x v="0"/>
    <n v="80"/>
    <n v="3"/>
    <n v="2"/>
    <x v="0"/>
    <n v="4"/>
    <x v="0"/>
    <n v="4507"/>
    <n v="8191"/>
    <n v="3"/>
    <s v="Y"/>
    <s v="No"/>
    <n v="12"/>
    <n v="3"/>
    <n v="3"/>
    <n v="80"/>
    <n v="0"/>
    <n v="8"/>
    <n v="1"/>
    <n v="4"/>
    <n v="5"/>
    <n v="1"/>
    <n v="0"/>
    <n v="4"/>
    <m/>
    <x v="0"/>
    <x v="3"/>
    <x v="0"/>
  </r>
  <r>
    <x v="3"/>
    <x v="0"/>
    <s v="Travel_Rarely"/>
    <n v="211"/>
    <x v="0"/>
    <n v="16"/>
    <x v="3"/>
    <s v="Life Sciences"/>
    <n v="1"/>
    <n v="1758"/>
    <n v="1"/>
    <x v="0"/>
    <n v="74"/>
    <n v="3"/>
    <n v="3"/>
    <x v="0"/>
    <n v="1"/>
    <x v="0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  <x v="0"/>
    <x v="0"/>
    <x v="0"/>
  </r>
  <r>
    <x v="8"/>
    <x v="1"/>
    <s v="Travel_Frequently"/>
    <n v="594"/>
    <x v="1"/>
    <n v="2"/>
    <x v="0"/>
    <s v="Medical"/>
    <n v="1"/>
    <n v="1760"/>
    <n v="3"/>
    <x v="0"/>
    <n v="75"/>
    <n v="2"/>
    <n v="1"/>
    <x v="2"/>
    <n v="2"/>
    <x v="1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  <x v="0"/>
    <x v="2"/>
    <x v="1"/>
  </r>
  <r>
    <x v="12"/>
    <x v="0"/>
    <s v="Travel_Rarely"/>
    <n v="1079"/>
    <x v="0"/>
    <n v="16"/>
    <x v="2"/>
    <s v="Marketing"/>
    <n v="1"/>
    <n v="1761"/>
    <n v="1"/>
    <x v="1"/>
    <n v="70"/>
    <n v="3"/>
    <n v="3"/>
    <x v="0"/>
    <n v="3"/>
    <x v="1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  <x v="1"/>
    <x v="3"/>
    <x v="0"/>
  </r>
  <r>
    <x v="11"/>
    <x v="1"/>
    <s v="Travel_Rarely"/>
    <n v="590"/>
    <x v="1"/>
    <n v="4"/>
    <x v="3"/>
    <s v="Technical Degree"/>
    <n v="1"/>
    <n v="1762"/>
    <n v="4"/>
    <x v="0"/>
    <n v="91"/>
    <n v="2"/>
    <n v="1"/>
    <x v="1"/>
    <n v="1"/>
    <x v="2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  <x v="0"/>
    <x v="4"/>
    <x v="1"/>
  </r>
  <r>
    <x v="7"/>
    <x v="1"/>
    <s v="Travel_Rarely"/>
    <n v="305"/>
    <x v="1"/>
    <n v="16"/>
    <x v="3"/>
    <s v="Life Sciences"/>
    <n v="1"/>
    <n v="1763"/>
    <n v="3"/>
    <x v="1"/>
    <n v="58"/>
    <n v="4"/>
    <n v="2"/>
    <x v="4"/>
    <n v="3"/>
    <x v="1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  <x v="1"/>
    <x v="0"/>
    <x v="1"/>
  </r>
  <r>
    <x v="5"/>
    <x v="1"/>
    <s v="Non-Travel"/>
    <n v="953"/>
    <x v="1"/>
    <n v="5"/>
    <x v="2"/>
    <s v="Technical Degree"/>
    <n v="1"/>
    <n v="1764"/>
    <n v="2"/>
    <x v="1"/>
    <n v="65"/>
    <n v="3"/>
    <n v="1"/>
    <x v="1"/>
    <n v="2"/>
    <x v="0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  <x v="1"/>
    <x v="4"/>
    <x v="1"/>
  </r>
  <r>
    <x v="8"/>
    <x v="1"/>
    <s v="Travel_Rarely"/>
    <n v="833"/>
    <x v="1"/>
    <n v="18"/>
    <x v="3"/>
    <s v="Medical"/>
    <n v="1"/>
    <n v="1766"/>
    <n v="2"/>
    <x v="1"/>
    <n v="60"/>
    <n v="1"/>
    <n v="2"/>
    <x v="4"/>
    <n v="4"/>
    <x v="1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  <x v="1"/>
    <x v="2"/>
    <x v="1"/>
  </r>
  <r>
    <x v="23"/>
    <x v="0"/>
    <s v="Travel_Frequently"/>
    <n v="807"/>
    <x v="1"/>
    <n v="17"/>
    <x v="3"/>
    <s v="Technical Degree"/>
    <n v="1"/>
    <n v="1767"/>
    <n v="3"/>
    <x v="1"/>
    <n v="38"/>
    <n v="2"/>
    <n v="1"/>
    <x v="1"/>
    <n v="3"/>
    <x v="1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  <x v="1"/>
    <x v="4"/>
    <x v="1"/>
  </r>
  <r>
    <x v="19"/>
    <x v="1"/>
    <s v="Travel_Rarely"/>
    <n v="855"/>
    <x v="1"/>
    <n v="12"/>
    <x v="3"/>
    <s v="Medical"/>
    <n v="1"/>
    <n v="1768"/>
    <n v="2"/>
    <x v="1"/>
    <n v="57"/>
    <n v="3"/>
    <n v="1"/>
    <x v="2"/>
    <n v="2"/>
    <x v="2"/>
    <n v="2766"/>
    <n v="8952"/>
    <n v="8"/>
    <s v="Y"/>
    <s v="No"/>
    <n v="22"/>
    <n v="4"/>
    <n v="2"/>
    <n v="80"/>
    <n v="3"/>
    <n v="7"/>
    <n v="6"/>
    <n v="2"/>
    <n v="5"/>
    <n v="3"/>
    <n v="0"/>
    <n v="4"/>
    <m/>
    <x v="1"/>
    <x v="2"/>
    <x v="1"/>
  </r>
  <r>
    <x v="27"/>
    <x v="1"/>
    <s v="Travel_Rarely"/>
    <n v="478"/>
    <x v="1"/>
    <n v="2"/>
    <x v="3"/>
    <s v="Medical"/>
    <n v="1"/>
    <n v="1770"/>
    <n v="3"/>
    <x v="1"/>
    <n v="60"/>
    <n v="2"/>
    <n v="5"/>
    <x v="7"/>
    <n v="1"/>
    <x v="1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  <x v="1"/>
    <x v="2"/>
    <x v="1"/>
  </r>
  <r>
    <x v="3"/>
    <x v="1"/>
    <s v="Non-Travel"/>
    <n v="775"/>
    <x v="1"/>
    <n v="4"/>
    <x v="3"/>
    <s v="Technical Degree"/>
    <n v="1"/>
    <n v="1771"/>
    <n v="4"/>
    <x v="1"/>
    <n v="90"/>
    <n v="3"/>
    <n v="2"/>
    <x v="1"/>
    <n v="2"/>
    <x v="2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  <x v="1"/>
    <x v="4"/>
    <x v="1"/>
  </r>
  <r>
    <x v="0"/>
    <x v="1"/>
    <s v="Travel_Rarely"/>
    <n v="548"/>
    <x v="1"/>
    <n v="9"/>
    <x v="2"/>
    <s v="Life Sciences"/>
    <n v="1"/>
    <n v="1772"/>
    <n v="3"/>
    <x v="1"/>
    <n v="94"/>
    <n v="3"/>
    <n v="1"/>
    <x v="2"/>
    <n v="1"/>
    <x v="2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  <x v="1"/>
    <x v="0"/>
    <x v="1"/>
  </r>
  <r>
    <x v="13"/>
    <x v="1"/>
    <s v="Non-Travel"/>
    <n v="1375"/>
    <x v="0"/>
    <n v="10"/>
    <x v="3"/>
    <s v="Life Sciences"/>
    <n v="1"/>
    <n v="1774"/>
    <n v="4"/>
    <x v="1"/>
    <n v="87"/>
    <n v="3"/>
    <n v="2"/>
    <x v="0"/>
    <n v="3"/>
    <x v="2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  <x v="1"/>
    <x v="0"/>
    <x v="0"/>
  </r>
  <r>
    <x v="16"/>
    <x v="1"/>
    <s v="Non-Travel"/>
    <n v="661"/>
    <x v="1"/>
    <n v="1"/>
    <x v="2"/>
    <s v="Medical"/>
    <n v="1"/>
    <n v="1775"/>
    <n v="1"/>
    <x v="0"/>
    <n v="60"/>
    <n v="2"/>
    <n v="4"/>
    <x v="3"/>
    <n v="3"/>
    <x v="1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  <x v="0"/>
    <x v="2"/>
    <x v="1"/>
  </r>
  <r>
    <x v="23"/>
    <x v="1"/>
    <s v="Travel_Rarely"/>
    <n v="244"/>
    <x v="2"/>
    <n v="2"/>
    <x v="3"/>
    <s v="Life Sciences"/>
    <n v="1"/>
    <n v="1778"/>
    <n v="2"/>
    <x v="1"/>
    <n v="97"/>
    <n v="3"/>
    <n v="1"/>
    <x v="8"/>
    <n v="4"/>
    <x v="0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  <x v="1"/>
    <x v="0"/>
    <x v="2"/>
  </r>
  <r>
    <x v="13"/>
    <x v="1"/>
    <s v="Travel_Rarely"/>
    <n v="511"/>
    <x v="0"/>
    <n v="3"/>
    <x v="0"/>
    <s v="Life Sciences"/>
    <n v="1"/>
    <n v="1779"/>
    <n v="4"/>
    <x v="0"/>
    <n v="32"/>
    <n v="1"/>
    <n v="2"/>
    <x v="0"/>
    <n v="4"/>
    <x v="0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  <x v="0"/>
    <x v="0"/>
    <x v="0"/>
  </r>
  <r>
    <x v="18"/>
    <x v="0"/>
    <s v="Travel_Rarely"/>
    <n v="337"/>
    <x v="0"/>
    <n v="7"/>
    <x v="1"/>
    <s v="Marketing"/>
    <n v="1"/>
    <n v="1780"/>
    <n v="2"/>
    <x v="1"/>
    <n v="31"/>
    <n v="3"/>
    <n v="1"/>
    <x v="6"/>
    <n v="2"/>
    <x v="0"/>
    <n v="2679"/>
    <n v="4567"/>
    <n v="1"/>
    <s v="Y"/>
    <s v="No"/>
    <n v="13"/>
    <n v="3"/>
    <n v="2"/>
    <n v="80"/>
    <n v="0"/>
    <n v="1"/>
    <n v="3"/>
    <n v="3"/>
    <n v="1"/>
    <n v="0"/>
    <n v="1"/>
    <n v="0"/>
    <m/>
    <x v="1"/>
    <x v="3"/>
    <x v="0"/>
  </r>
  <r>
    <x v="8"/>
    <x v="1"/>
    <s v="Travel_Rarely"/>
    <n v="1153"/>
    <x v="1"/>
    <n v="6"/>
    <x v="0"/>
    <s v="Other"/>
    <n v="1"/>
    <n v="1782"/>
    <n v="4"/>
    <x v="0"/>
    <n v="40"/>
    <n v="2"/>
    <n v="1"/>
    <x v="2"/>
    <n v="3"/>
    <x v="1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  <x v="0"/>
    <x v="1"/>
    <x v="1"/>
  </r>
  <r>
    <x v="15"/>
    <x v="0"/>
    <s v="Travel_Rarely"/>
    <n v="1294"/>
    <x v="1"/>
    <n v="8"/>
    <x v="1"/>
    <s v="Medical"/>
    <n v="1"/>
    <n v="1783"/>
    <n v="3"/>
    <x v="0"/>
    <n v="79"/>
    <n v="3"/>
    <n v="1"/>
    <x v="2"/>
    <n v="1"/>
    <x v="1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  <x v="0"/>
    <x v="2"/>
    <x v="1"/>
  </r>
  <r>
    <x v="12"/>
    <x v="1"/>
    <s v="Travel_Rarely"/>
    <n v="196"/>
    <x v="0"/>
    <n v="29"/>
    <x v="2"/>
    <s v="Marketing"/>
    <n v="1"/>
    <n v="1784"/>
    <n v="1"/>
    <x v="0"/>
    <n v="91"/>
    <n v="2"/>
    <n v="2"/>
    <x v="0"/>
    <n v="4"/>
    <x v="1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  <x v="0"/>
    <x v="3"/>
    <x v="0"/>
  </r>
  <r>
    <x v="31"/>
    <x v="1"/>
    <s v="Travel_Rarely"/>
    <n v="942"/>
    <x v="1"/>
    <n v="3"/>
    <x v="3"/>
    <s v="Technical Degree"/>
    <n v="1"/>
    <n v="1786"/>
    <n v="1"/>
    <x v="0"/>
    <n v="53"/>
    <n v="3"/>
    <n v="3"/>
    <x v="5"/>
    <n v="3"/>
    <x v="1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  <x v="0"/>
    <x v="4"/>
    <x v="1"/>
  </r>
  <r>
    <x v="2"/>
    <x v="1"/>
    <s v="Travel_Rarely"/>
    <n v="589"/>
    <x v="0"/>
    <n v="9"/>
    <x v="0"/>
    <s v="Marketing"/>
    <n v="1"/>
    <n v="1787"/>
    <n v="2"/>
    <x v="1"/>
    <n v="46"/>
    <n v="2"/>
    <n v="2"/>
    <x v="0"/>
    <n v="2"/>
    <x v="1"/>
    <n v="4189"/>
    <n v="8800"/>
    <n v="1"/>
    <s v="Y"/>
    <s v="No"/>
    <n v="14"/>
    <n v="3"/>
    <n v="1"/>
    <n v="80"/>
    <n v="2"/>
    <n v="5"/>
    <n v="2"/>
    <n v="3"/>
    <n v="5"/>
    <n v="2"/>
    <n v="0"/>
    <n v="3"/>
    <m/>
    <x v="1"/>
    <x v="3"/>
    <x v="0"/>
  </r>
  <r>
    <x v="21"/>
    <x v="1"/>
    <s v="Travel_Rarely"/>
    <n v="734"/>
    <x v="1"/>
    <n v="2"/>
    <x v="2"/>
    <s v="Medical"/>
    <n v="1"/>
    <n v="1789"/>
    <n v="3"/>
    <x v="1"/>
    <n v="46"/>
    <n v="3"/>
    <n v="5"/>
    <x v="7"/>
    <n v="4"/>
    <x v="2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  <x v="1"/>
    <x v="2"/>
    <x v="1"/>
  </r>
  <r>
    <x v="9"/>
    <x v="1"/>
    <s v="Travel_Rarely"/>
    <n v="1383"/>
    <x v="1"/>
    <n v="10"/>
    <x v="3"/>
    <s v="Life Sciences"/>
    <n v="1"/>
    <n v="1790"/>
    <n v="4"/>
    <x v="1"/>
    <n v="90"/>
    <n v="3"/>
    <n v="3"/>
    <x v="4"/>
    <n v="1"/>
    <x v="1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  <x v="1"/>
    <x v="0"/>
    <x v="1"/>
  </r>
  <r>
    <x v="20"/>
    <x v="0"/>
    <s v="Travel_Frequently"/>
    <n v="429"/>
    <x v="1"/>
    <n v="1"/>
    <x v="0"/>
    <s v="Medical"/>
    <n v="1"/>
    <n v="1792"/>
    <n v="3"/>
    <x v="1"/>
    <n v="99"/>
    <n v="3"/>
    <n v="1"/>
    <x v="1"/>
    <n v="2"/>
    <x v="2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  <x v="1"/>
    <x v="2"/>
    <x v="1"/>
  </r>
  <r>
    <x v="2"/>
    <x v="1"/>
    <s v="Travel_Rarely"/>
    <n v="1239"/>
    <x v="2"/>
    <n v="8"/>
    <x v="0"/>
    <s v="Other"/>
    <n v="1"/>
    <n v="1794"/>
    <n v="3"/>
    <x v="1"/>
    <n v="89"/>
    <n v="3"/>
    <n v="2"/>
    <x v="8"/>
    <n v="2"/>
    <x v="2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  <x v="1"/>
    <x v="1"/>
    <x v="2"/>
  </r>
  <r>
    <x v="10"/>
    <x v="0"/>
    <s v="Travel_Rarely"/>
    <n v="303"/>
    <x v="0"/>
    <n v="27"/>
    <x v="3"/>
    <s v="Life Sciences"/>
    <n v="1"/>
    <n v="1797"/>
    <n v="3"/>
    <x v="1"/>
    <n v="84"/>
    <n v="3"/>
    <n v="2"/>
    <x v="0"/>
    <n v="4"/>
    <x v="0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  <x v="1"/>
    <x v="0"/>
    <x v="0"/>
  </r>
  <r>
    <x v="3"/>
    <x v="1"/>
    <s v="Travel_Rarely"/>
    <n v="867"/>
    <x v="1"/>
    <n v="8"/>
    <x v="2"/>
    <s v="Life Sciences"/>
    <n v="1"/>
    <n v="1798"/>
    <n v="4"/>
    <x v="1"/>
    <n v="90"/>
    <n v="4"/>
    <n v="1"/>
    <x v="1"/>
    <n v="1"/>
    <x v="1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  <x v="1"/>
    <x v="0"/>
    <x v="1"/>
  </r>
  <r>
    <x v="14"/>
    <x v="1"/>
    <s v="Travel_Rarely"/>
    <n v="1181"/>
    <x v="1"/>
    <n v="1"/>
    <x v="3"/>
    <s v="Life Sciences"/>
    <n v="1"/>
    <n v="1799"/>
    <n v="3"/>
    <x v="1"/>
    <n v="82"/>
    <n v="3"/>
    <n v="1"/>
    <x v="1"/>
    <n v="4"/>
    <x v="1"/>
    <n v="2044"/>
    <n v="5531"/>
    <n v="1"/>
    <s v="Y"/>
    <s v="No"/>
    <n v="11"/>
    <n v="3"/>
    <n v="3"/>
    <n v="80"/>
    <n v="1"/>
    <n v="5"/>
    <n v="6"/>
    <n v="4"/>
    <n v="5"/>
    <n v="3"/>
    <n v="0"/>
    <n v="3"/>
    <m/>
    <x v="1"/>
    <x v="0"/>
    <x v="1"/>
  </r>
  <r>
    <x v="22"/>
    <x v="1"/>
    <s v="Travel_Rarely"/>
    <n v="1253"/>
    <x v="1"/>
    <n v="10"/>
    <x v="1"/>
    <s v="Medical"/>
    <n v="1"/>
    <n v="1800"/>
    <n v="3"/>
    <x v="1"/>
    <n v="65"/>
    <n v="3"/>
    <n v="3"/>
    <x v="7"/>
    <n v="3"/>
    <x v="0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  <x v="1"/>
    <x v="2"/>
    <x v="1"/>
  </r>
  <r>
    <x v="21"/>
    <x v="1"/>
    <s v="Non-Travel"/>
    <n v="849"/>
    <x v="0"/>
    <n v="26"/>
    <x v="0"/>
    <s v="Life Sciences"/>
    <n v="1"/>
    <n v="1801"/>
    <n v="2"/>
    <x v="1"/>
    <n v="98"/>
    <n v="2"/>
    <n v="2"/>
    <x v="0"/>
    <n v="2"/>
    <x v="0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  <x v="1"/>
    <x v="0"/>
    <x v="0"/>
  </r>
  <r>
    <x v="32"/>
    <x v="1"/>
    <s v="Travel_Rarely"/>
    <n v="616"/>
    <x v="1"/>
    <n v="2"/>
    <x v="0"/>
    <s v="Life Sciences"/>
    <n v="1"/>
    <n v="1802"/>
    <n v="3"/>
    <x v="0"/>
    <n v="99"/>
    <n v="3"/>
    <n v="1"/>
    <x v="2"/>
    <n v="1"/>
    <x v="1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  <x v="0"/>
    <x v="0"/>
    <x v="1"/>
  </r>
  <r>
    <x v="19"/>
    <x v="1"/>
    <s v="Travel_Rarely"/>
    <n v="1128"/>
    <x v="1"/>
    <n v="13"/>
    <x v="3"/>
    <s v="Medical"/>
    <n v="1"/>
    <n v="1803"/>
    <n v="2"/>
    <x v="1"/>
    <n v="95"/>
    <n v="4"/>
    <n v="2"/>
    <x v="4"/>
    <n v="1"/>
    <x v="1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  <x v="1"/>
    <x v="2"/>
    <x v="1"/>
  </r>
  <r>
    <x v="10"/>
    <x v="1"/>
    <s v="Non-Travel"/>
    <n v="1180"/>
    <x v="1"/>
    <n v="2"/>
    <x v="0"/>
    <s v="Medical"/>
    <n v="1"/>
    <n v="1804"/>
    <n v="2"/>
    <x v="1"/>
    <n v="90"/>
    <n v="3"/>
    <n v="2"/>
    <x v="3"/>
    <n v="4"/>
    <x v="2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  <x v="1"/>
    <x v="2"/>
    <x v="1"/>
  </r>
  <r>
    <x v="8"/>
    <x v="1"/>
    <s v="Non-Travel"/>
    <n v="1336"/>
    <x v="2"/>
    <n v="2"/>
    <x v="3"/>
    <s v="Human Resources"/>
    <n v="1"/>
    <n v="1805"/>
    <n v="1"/>
    <x v="1"/>
    <n v="100"/>
    <n v="3"/>
    <n v="1"/>
    <x v="8"/>
    <n v="2"/>
    <x v="2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  <x v="1"/>
    <x v="5"/>
    <x v="2"/>
  </r>
  <r>
    <x v="13"/>
    <x v="0"/>
    <s v="Travel_Frequently"/>
    <n v="234"/>
    <x v="1"/>
    <n v="9"/>
    <x v="2"/>
    <s v="Life Sciences"/>
    <n v="1"/>
    <n v="1807"/>
    <n v="4"/>
    <x v="1"/>
    <n v="93"/>
    <n v="3"/>
    <n v="2"/>
    <x v="2"/>
    <n v="1"/>
    <x v="1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  <x v="1"/>
    <x v="0"/>
    <x v="1"/>
  </r>
  <r>
    <x v="2"/>
    <x v="0"/>
    <s v="Travel_Rarely"/>
    <n v="370"/>
    <x v="1"/>
    <n v="10"/>
    <x v="2"/>
    <s v="Medical"/>
    <n v="1"/>
    <n v="1809"/>
    <n v="4"/>
    <x v="1"/>
    <n v="58"/>
    <n v="3"/>
    <n v="2"/>
    <x v="3"/>
    <n v="1"/>
    <x v="0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  <x v="1"/>
    <x v="2"/>
    <x v="1"/>
  </r>
  <r>
    <x v="22"/>
    <x v="1"/>
    <s v="Travel_Frequently"/>
    <n v="766"/>
    <x v="0"/>
    <n v="20"/>
    <x v="3"/>
    <s v="Life Sciences"/>
    <n v="1"/>
    <n v="1812"/>
    <n v="3"/>
    <x v="1"/>
    <n v="83"/>
    <n v="3"/>
    <n v="2"/>
    <x v="0"/>
    <n v="4"/>
    <x v="2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  <x v="1"/>
    <x v="0"/>
    <x v="0"/>
  </r>
  <r>
    <x v="23"/>
    <x v="1"/>
    <s v="Non-Travel"/>
    <n v="343"/>
    <x v="1"/>
    <n v="9"/>
    <x v="3"/>
    <s v="Life Sciences"/>
    <n v="1"/>
    <n v="1813"/>
    <n v="1"/>
    <x v="1"/>
    <n v="52"/>
    <n v="3"/>
    <n v="1"/>
    <x v="1"/>
    <n v="3"/>
    <x v="0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  <x v="1"/>
    <x v="0"/>
    <x v="1"/>
  </r>
  <r>
    <x v="0"/>
    <x v="1"/>
    <s v="Travel_Rarely"/>
    <n v="447"/>
    <x v="1"/>
    <n v="5"/>
    <x v="3"/>
    <s v="Life Sciences"/>
    <n v="1"/>
    <n v="1814"/>
    <n v="2"/>
    <x v="1"/>
    <n v="85"/>
    <n v="4"/>
    <n v="2"/>
    <x v="4"/>
    <n v="2"/>
    <x v="0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  <x v="1"/>
    <x v="0"/>
    <x v="1"/>
  </r>
  <r>
    <x v="0"/>
    <x v="1"/>
    <s v="Travel_Rarely"/>
    <n v="796"/>
    <x v="0"/>
    <n v="4"/>
    <x v="1"/>
    <s v="Marketing"/>
    <n v="1"/>
    <n v="1815"/>
    <n v="3"/>
    <x v="0"/>
    <n v="81"/>
    <n v="3"/>
    <n v="3"/>
    <x v="0"/>
    <n v="3"/>
    <x v="2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  <x v="0"/>
    <x v="3"/>
    <x v="0"/>
  </r>
  <r>
    <x v="7"/>
    <x v="1"/>
    <s v="Travel_Rarely"/>
    <n v="1092"/>
    <x v="1"/>
    <n v="10"/>
    <x v="3"/>
    <s v="Medical"/>
    <n v="1"/>
    <n v="1816"/>
    <n v="1"/>
    <x v="0"/>
    <n v="64"/>
    <n v="3"/>
    <n v="3"/>
    <x v="3"/>
    <n v="3"/>
    <x v="0"/>
    <n v="9667"/>
    <n v="2739"/>
    <n v="9"/>
    <s v="Y"/>
    <s v="No"/>
    <n v="14"/>
    <n v="3"/>
    <n v="2"/>
    <n v="80"/>
    <n v="0"/>
    <n v="9"/>
    <n v="3"/>
    <n v="3"/>
    <n v="7"/>
    <n v="7"/>
    <n v="0"/>
    <n v="2"/>
    <m/>
    <x v="0"/>
    <x v="2"/>
    <x v="1"/>
  </r>
  <r>
    <x v="25"/>
    <x v="0"/>
    <s v="Travel_Rarely"/>
    <n v="920"/>
    <x v="2"/>
    <n v="20"/>
    <x v="0"/>
    <s v="Medical"/>
    <n v="1"/>
    <n v="1818"/>
    <n v="4"/>
    <x v="0"/>
    <n v="69"/>
    <n v="3"/>
    <n v="1"/>
    <x v="8"/>
    <n v="2"/>
    <x v="1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  <x v="0"/>
    <x v="2"/>
    <x v="2"/>
  </r>
  <r>
    <x v="21"/>
    <x v="0"/>
    <s v="Travel_Rarely"/>
    <n v="261"/>
    <x v="1"/>
    <n v="21"/>
    <x v="0"/>
    <s v="Medical"/>
    <n v="1"/>
    <n v="1821"/>
    <n v="4"/>
    <x v="0"/>
    <n v="66"/>
    <n v="3"/>
    <n v="2"/>
    <x v="4"/>
    <n v="2"/>
    <x v="1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  <x v="0"/>
    <x v="2"/>
    <x v="1"/>
  </r>
  <r>
    <x v="32"/>
    <x v="1"/>
    <s v="Travel_Rarely"/>
    <n v="1194"/>
    <x v="1"/>
    <n v="1"/>
    <x v="3"/>
    <s v="Life Sciences"/>
    <n v="1"/>
    <n v="1822"/>
    <n v="3"/>
    <x v="0"/>
    <n v="52"/>
    <n v="3"/>
    <n v="2"/>
    <x v="4"/>
    <n v="4"/>
    <x v="2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  <x v="0"/>
    <x v="0"/>
    <x v="1"/>
  </r>
  <r>
    <x v="13"/>
    <x v="1"/>
    <s v="Travel_Rarely"/>
    <n v="810"/>
    <x v="0"/>
    <n v="8"/>
    <x v="0"/>
    <s v="Technical Degree"/>
    <n v="1"/>
    <n v="1823"/>
    <n v="2"/>
    <x v="1"/>
    <n v="92"/>
    <n v="4"/>
    <n v="2"/>
    <x v="0"/>
    <n v="3"/>
    <x v="1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  <x v="1"/>
    <x v="4"/>
    <x v="0"/>
  </r>
  <r>
    <x v="34"/>
    <x v="1"/>
    <s v="Non-Travel"/>
    <n v="350"/>
    <x v="0"/>
    <n v="2"/>
    <x v="3"/>
    <s v="Medical"/>
    <n v="1"/>
    <n v="1824"/>
    <n v="2"/>
    <x v="1"/>
    <n v="52"/>
    <n v="3"/>
    <n v="4"/>
    <x v="5"/>
    <n v="2"/>
    <x v="2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  <x v="1"/>
    <x v="2"/>
    <x v="0"/>
  </r>
  <r>
    <x v="10"/>
    <x v="1"/>
    <s v="Travel_Rarely"/>
    <n v="185"/>
    <x v="1"/>
    <n v="23"/>
    <x v="2"/>
    <s v="Medical"/>
    <n v="1"/>
    <n v="1826"/>
    <n v="2"/>
    <x v="1"/>
    <n v="91"/>
    <n v="1"/>
    <n v="1"/>
    <x v="2"/>
    <n v="3"/>
    <x v="1"/>
    <n v="2705"/>
    <n v="9696"/>
    <n v="0"/>
    <s v="Y"/>
    <s v="No"/>
    <n v="16"/>
    <n v="3"/>
    <n v="2"/>
    <n v="80"/>
    <n v="1"/>
    <n v="6"/>
    <n v="2"/>
    <n v="4"/>
    <n v="5"/>
    <n v="4"/>
    <n v="0"/>
    <n v="3"/>
    <m/>
    <x v="1"/>
    <x v="2"/>
    <x v="1"/>
  </r>
  <r>
    <x v="40"/>
    <x v="1"/>
    <s v="Travel_Rarely"/>
    <n v="1001"/>
    <x v="1"/>
    <n v="4"/>
    <x v="3"/>
    <s v="Life Sciences"/>
    <n v="1"/>
    <n v="1827"/>
    <n v="3"/>
    <x v="0"/>
    <n v="92"/>
    <n v="2"/>
    <n v="3"/>
    <x v="3"/>
    <n v="2"/>
    <x v="2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  <x v="0"/>
    <x v="0"/>
    <x v="1"/>
  </r>
  <r>
    <x v="32"/>
    <x v="1"/>
    <s v="Travel_Rarely"/>
    <n v="750"/>
    <x v="1"/>
    <n v="12"/>
    <x v="3"/>
    <s v="Life Sciences"/>
    <n v="1"/>
    <n v="1829"/>
    <n v="2"/>
    <x v="0"/>
    <n v="47"/>
    <n v="3"/>
    <n v="2"/>
    <x v="4"/>
    <n v="1"/>
    <x v="2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  <x v="0"/>
    <x v="0"/>
    <x v="1"/>
  </r>
  <r>
    <x v="33"/>
    <x v="1"/>
    <s v="Travel_Rarely"/>
    <n v="431"/>
    <x v="1"/>
    <n v="7"/>
    <x v="2"/>
    <s v="Medical"/>
    <n v="1"/>
    <n v="1830"/>
    <n v="4"/>
    <x v="0"/>
    <n v="68"/>
    <n v="3"/>
    <n v="2"/>
    <x v="1"/>
    <n v="4"/>
    <x v="1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  <x v="0"/>
    <x v="2"/>
    <x v="1"/>
  </r>
  <r>
    <x v="12"/>
    <x v="1"/>
    <s v="Travel_Frequently"/>
    <n v="1125"/>
    <x v="0"/>
    <n v="7"/>
    <x v="2"/>
    <s v="Marketing"/>
    <n v="1"/>
    <n v="1833"/>
    <n v="1"/>
    <x v="0"/>
    <n v="68"/>
    <n v="3"/>
    <n v="3"/>
    <x v="0"/>
    <n v="1"/>
    <x v="1"/>
    <n v="9637"/>
    <n v="8277"/>
    <n v="2"/>
    <s v="Y"/>
    <s v="No"/>
    <n v="14"/>
    <n v="3"/>
    <n v="4"/>
    <n v="80"/>
    <n v="2"/>
    <n v="9"/>
    <n v="3"/>
    <n v="3"/>
    <n v="3"/>
    <n v="2"/>
    <n v="2"/>
    <n v="2"/>
    <m/>
    <x v="0"/>
    <x v="3"/>
    <x v="0"/>
  </r>
  <r>
    <x v="14"/>
    <x v="1"/>
    <s v="Travel_Rarely"/>
    <n v="1217"/>
    <x v="1"/>
    <n v="1"/>
    <x v="3"/>
    <s v="Medical"/>
    <n v="1"/>
    <n v="1834"/>
    <n v="3"/>
    <x v="0"/>
    <n v="67"/>
    <n v="3"/>
    <n v="1"/>
    <x v="1"/>
    <n v="1"/>
    <x v="1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  <x v="0"/>
    <x v="2"/>
    <x v="1"/>
  </r>
  <r>
    <x v="8"/>
    <x v="1"/>
    <s v="Travel_Rarely"/>
    <n v="723"/>
    <x v="0"/>
    <n v="2"/>
    <x v="2"/>
    <s v="Marketing"/>
    <n v="1"/>
    <n v="1835"/>
    <n v="2"/>
    <x v="0"/>
    <n v="77"/>
    <n v="1"/>
    <n v="2"/>
    <x v="6"/>
    <n v="4"/>
    <x v="1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  <x v="0"/>
    <x v="3"/>
    <x v="0"/>
  </r>
  <r>
    <x v="25"/>
    <x v="1"/>
    <s v="Travel_Rarely"/>
    <n v="572"/>
    <x v="0"/>
    <n v="10"/>
    <x v="3"/>
    <s v="Medical"/>
    <n v="1"/>
    <n v="1836"/>
    <n v="3"/>
    <x v="1"/>
    <n v="46"/>
    <n v="3"/>
    <n v="2"/>
    <x v="0"/>
    <n v="4"/>
    <x v="0"/>
    <n v="4684"/>
    <n v="9125"/>
    <n v="1"/>
    <s v="Y"/>
    <s v="No"/>
    <n v="13"/>
    <n v="3"/>
    <n v="1"/>
    <n v="80"/>
    <n v="0"/>
    <n v="5"/>
    <n v="4"/>
    <n v="3"/>
    <n v="5"/>
    <n v="3"/>
    <n v="1"/>
    <n v="2"/>
    <m/>
    <x v="1"/>
    <x v="2"/>
    <x v="0"/>
  </r>
  <r>
    <x v="34"/>
    <x v="1"/>
    <s v="Travel_Frequently"/>
    <n v="1216"/>
    <x v="1"/>
    <n v="15"/>
    <x v="2"/>
    <s v="Life Sciences"/>
    <n v="1"/>
    <n v="1837"/>
    <n v="1"/>
    <x v="1"/>
    <n v="87"/>
    <n v="3"/>
    <n v="4"/>
    <x v="7"/>
    <n v="3"/>
    <x v="1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  <x v="1"/>
    <x v="0"/>
    <x v="1"/>
  </r>
  <r>
    <x v="41"/>
    <x v="1"/>
    <s v="Non-Travel"/>
    <n v="1431"/>
    <x v="1"/>
    <n v="14"/>
    <x v="3"/>
    <s v="Medical"/>
    <n v="1"/>
    <n v="1839"/>
    <n v="2"/>
    <x v="0"/>
    <n v="33"/>
    <n v="3"/>
    <n v="1"/>
    <x v="1"/>
    <n v="3"/>
    <x v="0"/>
    <n v="1514"/>
    <n v="8018"/>
    <n v="1"/>
    <s v="Y"/>
    <s v="No"/>
    <n v="16"/>
    <n v="3"/>
    <n v="3"/>
    <n v="80"/>
    <n v="0"/>
    <n v="0"/>
    <n v="4"/>
    <n v="1"/>
    <n v="0"/>
    <n v="0"/>
    <n v="0"/>
    <n v="0"/>
    <m/>
    <x v="0"/>
    <x v="2"/>
    <x v="1"/>
  </r>
  <r>
    <x v="12"/>
    <x v="0"/>
    <s v="Travel_Rarely"/>
    <n v="359"/>
    <x v="2"/>
    <n v="18"/>
    <x v="4"/>
    <s v="Human Resources"/>
    <n v="1"/>
    <n v="1842"/>
    <n v="4"/>
    <x v="1"/>
    <n v="89"/>
    <n v="4"/>
    <n v="1"/>
    <x v="8"/>
    <n v="1"/>
    <x v="1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  <x v="1"/>
    <x v="5"/>
    <x v="2"/>
  </r>
  <r>
    <x v="11"/>
    <x v="0"/>
    <s v="Travel_Rarely"/>
    <n v="350"/>
    <x v="2"/>
    <n v="13"/>
    <x v="3"/>
    <s v="Human Resources"/>
    <n v="1"/>
    <n v="1844"/>
    <n v="1"/>
    <x v="1"/>
    <n v="56"/>
    <n v="2"/>
    <n v="1"/>
    <x v="8"/>
    <n v="1"/>
    <x v="2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  <x v="1"/>
    <x v="5"/>
    <x v="2"/>
  </r>
  <r>
    <x v="28"/>
    <x v="1"/>
    <s v="Non-Travel"/>
    <n v="589"/>
    <x v="0"/>
    <n v="2"/>
    <x v="2"/>
    <s v="Life Sciences"/>
    <n v="1"/>
    <n v="1845"/>
    <n v="3"/>
    <x v="0"/>
    <n v="67"/>
    <n v="3"/>
    <n v="2"/>
    <x v="0"/>
    <n v="3"/>
    <x v="1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  <x v="0"/>
    <x v="0"/>
    <x v="0"/>
  </r>
  <r>
    <x v="9"/>
    <x v="1"/>
    <s v="Travel_Rarely"/>
    <n v="430"/>
    <x v="1"/>
    <n v="2"/>
    <x v="2"/>
    <s v="Other"/>
    <n v="1"/>
    <n v="1847"/>
    <n v="4"/>
    <x v="0"/>
    <n v="73"/>
    <n v="3"/>
    <n v="2"/>
    <x v="1"/>
    <n v="2"/>
    <x v="1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  <x v="0"/>
    <x v="1"/>
    <x v="1"/>
  </r>
  <r>
    <x v="23"/>
    <x v="1"/>
    <s v="Travel_Frequently"/>
    <n v="1422"/>
    <x v="0"/>
    <n v="2"/>
    <x v="2"/>
    <s v="Life Sciences"/>
    <n v="1"/>
    <n v="1849"/>
    <n v="1"/>
    <x v="1"/>
    <n v="92"/>
    <n v="3"/>
    <n v="2"/>
    <x v="0"/>
    <n v="4"/>
    <x v="1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  <x v="1"/>
    <x v="0"/>
    <x v="0"/>
  </r>
  <r>
    <x v="4"/>
    <x v="1"/>
    <s v="Travel_Frequently"/>
    <n v="1297"/>
    <x v="1"/>
    <n v="5"/>
    <x v="0"/>
    <s v="Life Sciences"/>
    <n v="1"/>
    <n v="1850"/>
    <n v="4"/>
    <x v="0"/>
    <n v="53"/>
    <n v="3"/>
    <n v="1"/>
    <x v="2"/>
    <n v="4"/>
    <x v="0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  <x v="0"/>
    <x v="0"/>
    <x v="1"/>
  </r>
  <r>
    <x v="11"/>
    <x v="1"/>
    <s v="Travel_Frequently"/>
    <n v="574"/>
    <x v="1"/>
    <n v="20"/>
    <x v="1"/>
    <s v="Medical"/>
    <n v="1"/>
    <n v="1852"/>
    <n v="4"/>
    <x v="1"/>
    <n v="40"/>
    <n v="3"/>
    <n v="1"/>
    <x v="2"/>
    <n v="4"/>
    <x v="1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  <x v="1"/>
    <x v="2"/>
    <x v="1"/>
  </r>
  <r>
    <x v="5"/>
    <x v="1"/>
    <s v="Travel_Frequently"/>
    <n v="1318"/>
    <x v="0"/>
    <n v="10"/>
    <x v="2"/>
    <s v="Marketing"/>
    <n v="1"/>
    <n v="1853"/>
    <n v="4"/>
    <x v="1"/>
    <n v="79"/>
    <n v="3"/>
    <n v="2"/>
    <x v="0"/>
    <n v="4"/>
    <x v="0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  <x v="1"/>
    <x v="3"/>
    <x v="0"/>
  </r>
  <r>
    <x v="19"/>
    <x v="1"/>
    <s v="Non-Travel"/>
    <n v="355"/>
    <x v="1"/>
    <n v="10"/>
    <x v="2"/>
    <s v="Technical Degree"/>
    <n v="1"/>
    <n v="1854"/>
    <n v="3"/>
    <x v="1"/>
    <n v="38"/>
    <n v="3"/>
    <n v="1"/>
    <x v="1"/>
    <n v="3"/>
    <x v="1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  <x v="1"/>
    <x v="4"/>
    <x v="1"/>
  </r>
  <r>
    <x v="40"/>
    <x v="1"/>
    <s v="Travel_Rarely"/>
    <n v="207"/>
    <x v="1"/>
    <n v="9"/>
    <x v="2"/>
    <s v="Life Sciences"/>
    <n v="1"/>
    <n v="1856"/>
    <n v="2"/>
    <x v="0"/>
    <n v="64"/>
    <n v="3"/>
    <n v="1"/>
    <x v="2"/>
    <n v="3"/>
    <x v="0"/>
    <n v="2105"/>
    <n v="5411"/>
    <n v="4"/>
    <s v="Y"/>
    <s v="No"/>
    <n v="12"/>
    <n v="3"/>
    <n v="3"/>
    <n v="80"/>
    <n v="0"/>
    <n v="7"/>
    <n v="2"/>
    <n v="3"/>
    <n v="2"/>
    <n v="2"/>
    <n v="2"/>
    <n v="0"/>
    <m/>
    <x v="0"/>
    <x v="0"/>
    <x v="1"/>
  </r>
  <r>
    <x v="21"/>
    <x v="1"/>
    <s v="Travel_Rarely"/>
    <n v="706"/>
    <x v="1"/>
    <n v="2"/>
    <x v="0"/>
    <s v="Life Sciences"/>
    <n v="1"/>
    <n v="1857"/>
    <n v="4"/>
    <x v="1"/>
    <n v="82"/>
    <n v="3"/>
    <n v="3"/>
    <x v="3"/>
    <n v="4"/>
    <x v="2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  <x v="1"/>
    <x v="0"/>
    <x v="1"/>
  </r>
  <r>
    <x v="14"/>
    <x v="1"/>
    <s v="Non-Travel"/>
    <n v="280"/>
    <x v="2"/>
    <n v="1"/>
    <x v="0"/>
    <s v="Life Sciences"/>
    <n v="1"/>
    <n v="1858"/>
    <n v="3"/>
    <x v="1"/>
    <n v="43"/>
    <n v="3"/>
    <n v="1"/>
    <x v="8"/>
    <n v="4"/>
    <x v="2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  <x v="1"/>
    <x v="0"/>
    <x v="2"/>
  </r>
  <r>
    <x v="11"/>
    <x v="1"/>
    <s v="Travel_Rarely"/>
    <n v="726"/>
    <x v="1"/>
    <n v="29"/>
    <x v="1"/>
    <s v="Life Sciences"/>
    <n v="1"/>
    <n v="1859"/>
    <n v="4"/>
    <x v="1"/>
    <n v="93"/>
    <n v="1"/>
    <n v="2"/>
    <x v="4"/>
    <n v="3"/>
    <x v="2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  <x v="1"/>
    <x v="0"/>
    <x v="1"/>
  </r>
  <r>
    <x v="19"/>
    <x v="1"/>
    <s v="Travel_Rarely"/>
    <n v="1142"/>
    <x v="1"/>
    <n v="8"/>
    <x v="3"/>
    <s v="Life Sciences"/>
    <n v="1"/>
    <n v="1860"/>
    <n v="4"/>
    <x v="1"/>
    <n v="81"/>
    <n v="3"/>
    <n v="1"/>
    <x v="2"/>
    <n v="3"/>
    <x v="0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  <x v="1"/>
    <x v="0"/>
    <x v="1"/>
  </r>
  <r>
    <x v="5"/>
    <x v="0"/>
    <s v="Travel_Rarely"/>
    <n v="414"/>
    <x v="0"/>
    <n v="2"/>
    <x v="2"/>
    <s v="Marketing"/>
    <n v="1"/>
    <n v="1862"/>
    <n v="3"/>
    <x v="1"/>
    <n v="82"/>
    <n v="2"/>
    <n v="2"/>
    <x v="0"/>
    <n v="2"/>
    <x v="0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  <x v="1"/>
    <x v="3"/>
    <x v="0"/>
  </r>
  <r>
    <x v="21"/>
    <x v="1"/>
    <s v="Travel_Rarely"/>
    <n v="1319"/>
    <x v="0"/>
    <n v="3"/>
    <x v="3"/>
    <s v="Technical Degree"/>
    <n v="1"/>
    <n v="1863"/>
    <n v="1"/>
    <x v="0"/>
    <n v="45"/>
    <n v="4"/>
    <n v="4"/>
    <x v="0"/>
    <n v="1"/>
    <x v="2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  <x v="0"/>
    <x v="4"/>
    <x v="0"/>
  </r>
  <r>
    <x v="4"/>
    <x v="1"/>
    <s v="Travel_Rarely"/>
    <n v="728"/>
    <x v="0"/>
    <n v="23"/>
    <x v="1"/>
    <s v="Medical"/>
    <n v="1"/>
    <n v="1864"/>
    <n v="2"/>
    <x v="0"/>
    <n v="36"/>
    <n v="2"/>
    <n v="2"/>
    <x v="6"/>
    <n v="3"/>
    <x v="1"/>
    <n v="3540"/>
    <n v="7018"/>
    <n v="1"/>
    <s v="Y"/>
    <s v="No"/>
    <n v="21"/>
    <n v="4"/>
    <n v="4"/>
    <n v="80"/>
    <n v="1"/>
    <n v="9"/>
    <n v="5"/>
    <n v="3"/>
    <n v="9"/>
    <n v="8"/>
    <n v="5"/>
    <n v="8"/>
    <m/>
    <x v="0"/>
    <x v="2"/>
    <x v="0"/>
  </r>
  <r>
    <x v="11"/>
    <x v="1"/>
    <s v="Travel_Rarely"/>
    <n v="352"/>
    <x v="2"/>
    <n v="6"/>
    <x v="1"/>
    <s v="Medical"/>
    <n v="1"/>
    <n v="1865"/>
    <n v="4"/>
    <x v="1"/>
    <n v="87"/>
    <n v="2"/>
    <n v="1"/>
    <x v="8"/>
    <n v="2"/>
    <x v="1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  <x v="1"/>
    <x v="2"/>
    <x v="2"/>
  </r>
  <r>
    <x v="23"/>
    <x v="1"/>
    <s v="Travel_Rarely"/>
    <n v="823"/>
    <x v="1"/>
    <n v="6"/>
    <x v="3"/>
    <s v="Medical"/>
    <n v="1"/>
    <n v="1866"/>
    <n v="1"/>
    <x v="0"/>
    <n v="81"/>
    <n v="2"/>
    <n v="5"/>
    <x v="5"/>
    <n v="3"/>
    <x v="1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  <x v="0"/>
    <x v="2"/>
    <x v="1"/>
  </r>
  <r>
    <x v="26"/>
    <x v="1"/>
    <s v="Travel_Rarely"/>
    <n v="1224"/>
    <x v="1"/>
    <n v="10"/>
    <x v="3"/>
    <s v="Life Sciences"/>
    <n v="1"/>
    <n v="1867"/>
    <n v="4"/>
    <x v="1"/>
    <n v="91"/>
    <n v="2"/>
    <n v="5"/>
    <x v="7"/>
    <n v="2"/>
    <x v="1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  <x v="1"/>
    <x v="0"/>
    <x v="1"/>
  </r>
  <r>
    <x v="11"/>
    <x v="0"/>
    <s v="Travel_Frequently"/>
    <n v="459"/>
    <x v="1"/>
    <n v="24"/>
    <x v="0"/>
    <s v="Life Sciences"/>
    <n v="1"/>
    <n v="1868"/>
    <n v="4"/>
    <x v="1"/>
    <n v="73"/>
    <n v="2"/>
    <n v="1"/>
    <x v="1"/>
    <n v="4"/>
    <x v="0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  <x v="1"/>
    <x v="0"/>
    <x v="1"/>
  </r>
  <r>
    <x v="21"/>
    <x v="0"/>
    <s v="Travel_Rarely"/>
    <n v="1254"/>
    <x v="0"/>
    <n v="10"/>
    <x v="3"/>
    <s v="Life Sciences"/>
    <n v="1"/>
    <n v="1869"/>
    <n v="3"/>
    <x v="0"/>
    <n v="64"/>
    <n v="3"/>
    <n v="3"/>
    <x v="0"/>
    <n v="2"/>
    <x v="1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  <x v="0"/>
    <x v="0"/>
    <x v="0"/>
  </r>
  <r>
    <x v="4"/>
    <x v="1"/>
    <s v="Travel_Frequently"/>
    <n v="1131"/>
    <x v="1"/>
    <n v="15"/>
    <x v="3"/>
    <s v="Life Sciences"/>
    <n v="1"/>
    <n v="1870"/>
    <n v="4"/>
    <x v="0"/>
    <n v="77"/>
    <n v="2"/>
    <n v="1"/>
    <x v="1"/>
    <n v="1"/>
    <x v="1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  <x v="0"/>
    <x v="0"/>
    <x v="1"/>
  </r>
  <r>
    <x v="22"/>
    <x v="1"/>
    <s v="Travel_Rarely"/>
    <n v="835"/>
    <x v="1"/>
    <n v="19"/>
    <x v="2"/>
    <s v="Other"/>
    <n v="1"/>
    <n v="1871"/>
    <n v="4"/>
    <x v="1"/>
    <n v="41"/>
    <n v="3"/>
    <n v="2"/>
    <x v="1"/>
    <n v="4"/>
    <x v="2"/>
    <n v="3902"/>
    <n v="5141"/>
    <n v="8"/>
    <s v="Y"/>
    <s v="No"/>
    <n v="14"/>
    <n v="3"/>
    <n v="2"/>
    <n v="80"/>
    <n v="3"/>
    <n v="7"/>
    <n v="2"/>
    <n v="3"/>
    <n v="2"/>
    <n v="2"/>
    <n v="2"/>
    <n v="2"/>
    <m/>
    <x v="1"/>
    <x v="1"/>
    <x v="1"/>
  </r>
  <r>
    <x v="27"/>
    <x v="1"/>
    <s v="Travel_Rarely"/>
    <n v="836"/>
    <x v="1"/>
    <n v="2"/>
    <x v="2"/>
    <s v="Technical Degree"/>
    <n v="1"/>
    <n v="1873"/>
    <n v="2"/>
    <x v="1"/>
    <n v="98"/>
    <n v="2"/>
    <n v="1"/>
    <x v="1"/>
    <n v="4"/>
    <x v="1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  <x v="1"/>
    <x v="4"/>
    <x v="1"/>
  </r>
  <r>
    <x v="14"/>
    <x v="1"/>
    <s v="Travel_Rarely"/>
    <n v="1172"/>
    <x v="0"/>
    <n v="3"/>
    <x v="3"/>
    <s v="Medical"/>
    <n v="1"/>
    <n v="1875"/>
    <n v="2"/>
    <x v="0"/>
    <n v="78"/>
    <n v="3"/>
    <n v="1"/>
    <x v="6"/>
    <n v="2"/>
    <x v="1"/>
    <n v="2856"/>
    <n v="3692"/>
    <n v="1"/>
    <s v="Y"/>
    <s v="No"/>
    <n v="19"/>
    <n v="3"/>
    <n v="4"/>
    <n v="80"/>
    <n v="1"/>
    <n v="1"/>
    <n v="3"/>
    <n v="3"/>
    <n v="1"/>
    <n v="0"/>
    <n v="0"/>
    <n v="0"/>
    <m/>
    <x v="0"/>
    <x v="2"/>
    <x v="0"/>
  </r>
  <r>
    <x v="7"/>
    <x v="0"/>
    <s v="Travel_Rarely"/>
    <n v="945"/>
    <x v="0"/>
    <n v="9"/>
    <x v="3"/>
    <s v="Medical"/>
    <n v="1"/>
    <n v="1876"/>
    <n v="2"/>
    <x v="1"/>
    <n v="89"/>
    <n v="3"/>
    <n v="1"/>
    <x v="6"/>
    <n v="4"/>
    <x v="0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  <x v="1"/>
    <x v="2"/>
    <x v="0"/>
  </r>
  <r>
    <x v="15"/>
    <x v="0"/>
    <s v="Travel_Rarely"/>
    <n v="391"/>
    <x v="1"/>
    <n v="7"/>
    <x v="1"/>
    <s v="Life Sciences"/>
    <n v="1"/>
    <n v="1878"/>
    <n v="4"/>
    <x v="1"/>
    <n v="75"/>
    <n v="3"/>
    <n v="1"/>
    <x v="1"/>
    <n v="2"/>
    <x v="0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  <x v="1"/>
    <x v="0"/>
    <x v="1"/>
  </r>
  <r>
    <x v="9"/>
    <x v="1"/>
    <s v="Travel_Rarely"/>
    <n v="1266"/>
    <x v="0"/>
    <n v="10"/>
    <x v="2"/>
    <s v="Technical Degree"/>
    <n v="1"/>
    <n v="1880"/>
    <n v="2"/>
    <x v="0"/>
    <n v="63"/>
    <n v="2"/>
    <n v="2"/>
    <x v="0"/>
    <n v="3"/>
    <x v="1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  <x v="0"/>
    <x v="4"/>
    <x v="0"/>
  </r>
  <r>
    <x v="12"/>
    <x v="1"/>
    <s v="Travel_Rarely"/>
    <n v="311"/>
    <x v="1"/>
    <n v="20"/>
    <x v="3"/>
    <s v="Life Sciences"/>
    <n v="1"/>
    <n v="1881"/>
    <n v="2"/>
    <x v="1"/>
    <n v="89"/>
    <n v="3"/>
    <n v="2"/>
    <x v="2"/>
    <n v="3"/>
    <x v="2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  <x v="1"/>
    <x v="0"/>
    <x v="1"/>
  </r>
  <r>
    <x v="13"/>
    <x v="1"/>
    <s v="Travel_Rarely"/>
    <n v="1480"/>
    <x v="0"/>
    <n v="4"/>
    <x v="3"/>
    <s v="Life Sciences"/>
    <n v="1"/>
    <n v="1882"/>
    <n v="3"/>
    <x v="1"/>
    <n v="64"/>
    <n v="3"/>
    <n v="3"/>
    <x v="0"/>
    <n v="4"/>
    <x v="1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  <x v="1"/>
    <x v="0"/>
    <x v="0"/>
  </r>
  <r>
    <x v="11"/>
    <x v="1"/>
    <s v="Travel_Rarely"/>
    <n v="592"/>
    <x v="1"/>
    <n v="7"/>
    <x v="3"/>
    <s v="Life Sciences"/>
    <n v="1"/>
    <n v="1883"/>
    <n v="4"/>
    <x v="1"/>
    <n v="59"/>
    <n v="3"/>
    <n v="1"/>
    <x v="2"/>
    <n v="1"/>
    <x v="0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  <x v="1"/>
    <x v="0"/>
    <x v="1"/>
  </r>
  <r>
    <x v="2"/>
    <x v="1"/>
    <s v="Travel_Rarely"/>
    <n v="783"/>
    <x v="1"/>
    <n v="7"/>
    <x v="2"/>
    <s v="Medical"/>
    <n v="1"/>
    <n v="1885"/>
    <n v="4"/>
    <x v="1"/>
    <n v="78"/>
    <n v="3"/>
    <n v="2"/>
    <x v="1"/>
    <n v="1"/>
    <x v="1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  <x v="1"/>
    <x v="2"/>
    <x v="1"/>
  </r>
  <r>
    <x v="10"/>
    <x v="1"/>
    <s v="Travel_Rarely"/>
    <n v="219"/>
    <x v="1"/>
    <n v="16"/>
    <x v="0"/>
    <s v="Other"/>
    <n v="1"/>
    <n v="1886"/>
    <n v="4"/>
    <x v="0"/>
    <n v="44"/>
    <n v="2"/>
    <n v="2"/>
    <x v="3"/>
    <n v="2"/>
    <x v="1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  <x v="0"/>
    <x v="1"/>
    <x v="1"/>
  </r>
  <r>
    <x v="28"/>
    <x v="1"/>
    <s v="Travel_Rarely"/>
    <n v="556"/>
    <x v="1"/>
    <n v="25"/>
    <x v="0"/>
    <s v="Life Sciences"/>
    <n v="1"/>
    <n v="1888"/>
    <n v="2"/>
    <x v="0"/>
    <n v="93"/>
    <n v="2"/>
    <n v="2"/>
    <x v="3"/>
    <n v="4"/>
    <x v="1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  <x v="0"/>
    <x v="0"/>
    <x v="1"/>
  </r>
  <r>
    <x v="9"/>
    <x v="1"/>
    <s v="Travel_Frequently"/>
    <n v="1213"/>
    <x v="2"/>
    <n v="2"/>
    <x v="1"/>
    <s v="Human Resources"/>
    <n v="1"/>
    <n v="1890"/>
    <n v="2"/>
    <x v="1"/>
    <n v="94"/>
    <n v="2"/>
    <n v="2"/>
    <x v="8"/>
    <n v="4"/>
    <x v="0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  <x v="1"/>
    <x v="5"/>
    <x v="2"/>
  </r>
  <r>
    <x v="32"/>
    <x v="1"/>
    <s v="Travel_Rarely"/>
    <n v="1137"/>
    <x v="1"/>
    <n v="1"/>
    <x v="2"/>
    <s v="Life Sciences"/>
    <n v="1"/>
    <n v="1892"/>
    <n v="1"/>
    <x v="1"/>
    <n v="98"/>
    <n v="3"/>
    <n v="4"/>
    <x v="5"/>
    <n v="1"/>
    <x v="2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  <x v="1"/>
    <x v="0"/>
    <x v="1"/>
  </r>
  <r>
    <x v="25"/>
    <x v="1"/>
    <s v="Travel_Rarely"/>
    <n v="482"/>
    <x v="1"/>
    <n v="1"/>
    <x v="0"/>
    <s v="Life Sciences"/>
    <n v="1"/>
    <n v="1893"/>
    <n v="2"/>
    <x v="0"/>
    <n v="90"/>
    <n v="2"/>
    <n v="1"/>
    <x v="1"/>
    <n v="3"/>
    <x v="1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  <x v="0"/>
    <x v="0"/>
    <x v="1"/>
  </r>
  <r>
    <x v="4"/>
    <x v="1"/>
    <s v="Travel_Rarely"/>
    <n v="511"/>
    <x v="0"/>
    <n v="2"/>
    <x v="0"/>
    <s v="Medical"/>
    <n v="1"/>
    <n v="1898"/>
    <n v="1"/>
    <x v="0"/>
    <n v="89"/>
    <n v="4"/>
    <n v="2"/>
    <x v="0"/>
    <n v="3"/>
    <x v="0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  <x v="0"/>
    <x v="2"/>
    <x v="0"/>
  </r>
  <r>
    <x v="26"/>
    <x v="1"/>
    <s v="Travel_Frequently"/>
    <n v="117"/>
    <x v="1"/>
    <n v="22"/>
    <x v="3"/>
    <s v="Medical"/>
    <n v="1"/>
    <n v="1900"/>
    <n v="4"/>
    <x v="0"/>
    <n v="58"/>
    <n v="3"/>
    <n v="4"/>
    <x v="5"/>
    <n v="4"/>
    <x v="2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  <x v="0"/>
    <x v="2"/>
    <x v="1"/>
  </r>
  <r>
    <x v="20"/>
    <x v="1"/>
    <s v="Travel_Rarely"/>
    <n v="170"/>
    <x v="1"/>
    <n v="1"/>
    <x v="2"/>
    <s v="Life Sciences"/>
    <n v="1"/>
    <n v="1903"/>
    <n v="2"/>
    <x v="1"/>
    <n v="78"/>
    <n v="4"/>
    <n v="2"/>
    <x v="4"/>
    <n v="1"/>
    <x v="1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  <x v="1"/>
    <x v="0"/>
    <x v="1"/>
  </r>
  <r>
    <x v="13"/>
    <x v="0"/>
    <s v="Non-Travel"/>
    <n v="967"/>
    <x v="1"/>
    <n v="16"/>
    <x v="2"/>
    <s v="Technical Degree"/>
    <n v="1"/>
    <n v="1905"/>
    <n v="4"/>
    <x v="1"/>
    <n v="85"/>
    <n v="1"/>
    <n v="1"/>
    <x v="1"/>
    <n v="1"/>
    <x v="1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  <x v="1"/>
    <x v="4"/>
    <x v="1"/>
  </r>
  <r>
    <x v="29"/>
    <x v="0"/>
    <s v="Travel_Rarely"/>
    <n v="1162"/>
    <x v="1"/>
    <n v="24"/>
    <x v="0"/>
    <s v="Life Sciences"/>
    <n v="1"/>
    <n v="1907"/>
    <n v="1"/>
    <x v="1"/>
    <n v="97"/>
    <n v="3"/>
    <n v="1"/>
    <x v="2"/>
    <n v="4"/>
    <x v="0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  <x v="1"/>
    <x v="0"/>
    <x v="1"/>
  </r>
  <r>
    <x v="9"/>
    <x v="1"/>
    <s v="Travel_Rarely"/>
    <n v="335"/>
    <x v="0"/>
    <n v="17"/>
    <x v="0"/>
    <s v="Marketing"/>
    <n v="1"/>
    <n v="1908"/>
    <n v="3"/>
    <x v="1"/>
    <n v="33"/>
    <n v="2"/>
    <n v="2"/>
    <x v="0"/>
    <n v="2"/>
    <x v="1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  <x v="1"/>
    <x v="3"/>
    <x v="0"/>
  </r>
  <r>
    <x v="0"/>
    <x v="1"/>
    <s v="Travel_Rarely"/>
    <n v="337"/>
    <x v="0"/>
    <n v="8"/>
    <x v="3"/>
    <s v="Marketing"/>
    <n v="1"/>
    <n v="1909"/>
    <n v="3"/>
    <x v="0"/>
    <n v="54"/>
    <n v="3"/>
    <n v="2"/>
    <x v="0"/>
    <n v="2"/>
    <x v="1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  <x v="0"/>
    <x v="3"/>
    <x v="0"/>
  </r>
  <r>
    <x v="19"/>
    <x v="1"/>
    <s v="Travel_Rarely"/>
    <n v="1396"/>
    <x v="1"/>
    <n v="6"/>
    <x v="3"/>
    <s v="Medical"/>
    <n v="1"/>
    <n v="1911"/>
    <n v="3"/>
    <x v="1"/>
    <n v="83"/>
    <n v="3"/>
    <n v="3"/>
    <x v="7"/>
    <n v="1"/>
    <x v="1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  <x v="1"/>
    <x v="2"/>
    <x v="1"/>
  </r>
  <r>
    <x v="12"/>
    <x v="1"/>
    <s v="Travel_Rarely"/>
    <n v="1079"/>
    <x v="0"/>
    <n v="10"/>
    <x v="0"/>
    <s v="Medical"/>
    <n v="1"/>
    <n v="1912"/>
    <n v="3"/>
    <x v="0"/>
    <n v="86"/>
    <n v="3"/>
    <n v="2"/>
    <x v="0"/>
    <n v="4"/>
    <x v="2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  <x v="0"/>
    <x v="2"/>
    <x v="0"/>
  </r>
  <r>
    <x v="13"/>
    <x v="1"/>
    <s v="Travel_Rarely"/>
    <n v="735"/>
    <x v="0"/>
    <n v="3"/>
    <x v="1"/>
    <s v="Medical"/>
    <n v="1"/>
    <n v="1915"/>
    <n v="4"/>
    <x v="0"/>
    <n v="75"/>
    <n v="2"/>
    <n v="2"/>
    <x v="0"/>
    <n v="4"/>
    <x v="1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  <x v="0"/>
    <x v="2"/>
    <x v="0"/>
  </r>
  <r>
    <x v="12"/>
    <x v="1"/>
    <s v="Travel_Rarely"/>
    <n v="471"/>
    <x v="1"/>
    <n v="4"/>
    <x v="3"/>
    <s v="Medical"/>
    <n v="1"/>
    <n v="1916"/>
    <n v="1"/>
    <x v="0"/>
    <n v="62"/>
    <n v="4"/>
    <n v="1"/>
    <x v="2"/>
    <n v="3"/>
    <x v="2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  <x v="0"/>
    <x v="2"/>
    <x v="1"/>
  </r>
  <r>
    <x v="25"/>
    <x v="1"/>
    <s v="Travel_Frequently"/>
    <n v="1096"/>
    <x v="1"/>
    <n v="6"/>
    <x v="3"/>
    <s v="Other"/>
    <n v="1"/>
    <n v="1918"/>
    <n v="3"/>
    <x v="1"/>
    <n v="61"/>
    <n v="4"/>
    <n v="1"/>
    <x v="2"/>
    <n v="4"/>
    <x v="1"/>
    <n v="2544"/>
    <n v="7102"/>
    <n v="0"/>
    <s v="Y"/>
    <s v="No"/>
    <n v="18"/>
    <n v="3"/>
    <n v="1"/>
    <n v="80"/>
    <n v="1"/>
    <n v="8"/>
    <n v="3"/>
    <n v="3"/>
    <n v="7"/>
    <n v="7"/>
    <n v="7"/>
    <n v="7"/>
    <m/>
    <x v="1"/>
    <x v="1"/>
    <x v="1"/>
  </r>
  <r>
    <x v="28"/>
    <x v="1"/>
    <s v="Travel_Frequently"/>
    <n v="1297"/>
    <x v="1"/>
    <n v="1"/>
    <x v="2"/>
    <s v="Medical"/>
    <n v="1"/>
    <n v="1922"/>
    <n v="2"/>
    <x v="1"/>
    <n v="44"/>
    <n v="3"/>
    <n v="2"/>
    <x v="4"/>
    <n v="3"/>
    <x v="0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  <x v="1"/>
    <x v="2"/>
    <x v="1"/>
  </r>
  <r>
    <x v="3"/>
    <x v="1"/>
    <s v="Travel_Rarely"/>
    <n v="217"/>
    <x v="0"/>
    <n v="10"/>
    <x v="2"/>
    <s v="Marketing"/>
    <n v="1"/>
    <n v="1924"/>
    <n v="2"/>
    <x v="1"/>
    <n v="43"/>
    <n v="3"/>
    <n v="2"/>
    <x v="0"/>
    <n v="3"/>
    <x v="0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  <x v="1"/>
    <x v="3"/>
    <x v="0"/>
  </r>
  <r>
    <x v="14"/>
    <x v="1"/>
    <s v="Travel_Frequently"/>
    <n v="783"/>
    <x v="0"/>
    <n v="1"/>
    <x v="0"/>
    <s v="Life Sciences"/>
    <n v="1"/>
    <n v="1927"/>
    <n v="3"/>
    <x v="1"/>
    <n v="42"/>
    <n v="2"/>
    <n v="2"/>
    <x v="0"/>
    <n v="4"/>
    <x v="1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  <x v="1"/>
    <x v="0"/>
    <x v="0"/>
  </r>
  <r>
    <x v="11"/>
    <x v="0"/>
    <s v="Travel_Frequently"/>
    <n v="746"/>
    <x v="0"/>
    <n v="24"/>
    <x v="3"/>
    <s v="Technical Degree"/>
    <n v="1"/>
    <n v="1928"/>
    <n v="3"/>
    <x v="1"/>
    <n v="45"/>
    <n v="4"/>
    <n v="1"/>
    <x v="6"/>
    <n v="1"/>
    <x v="0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  <x v="1"/>
    <x v="4"/>
    <x v="0"/>
  </r>
  <r>
    <x v="22"/>
    <x v="1"/>
    <s v="Non-Travel"/>
    <n v="1251"/>
    <x v="0"/>
    <n v="21"/>
    <x v="2"/>
    <s v="Life Sciences"/>
    <n v="1"/>
    <n v="1929"/>
    <n v="1"/>
    <x v="0"/>
    <n v="32"/>
    <n v="1"/>
    <n v="2"/>
    <x v="0"/>
    <n v="3"/>
    <x v="1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  <x v="0"/>
    <x v="0"/>
    <x v="0"/>
  </r>
  <r>
    <x v="4"/>
    <x v="1"/>
    <s v="Travel_Rarely"/>
    <n v="1354"/>
    <x v="1"/>
    <n v="2"/>
    <x v="2"/>
    <s v="Technical Degree"/>
    <n v="1"/>
    <n v="1931"/>
    <n v="2"/>
    <x v="1"/>
    <n v="41"/>
    <n v="3"/>
    <n v="1"/>
    <x v="1"/>
    <n v="2"/>
    <x v="1"/>
    <n v="2226"/>
    <n v="6073"/>
    <n v="1"/>
    <s v="Y"/>
    <s v="No"/>
    <n v="11"/>
    <n v="3"/>
    <n v="3"/>
    <n v="80"/>
    <n v="1"/>
    <n v="6"/>
    <n v="3"/>
    <n v="2"/>
    <n v="5"/>
    <n v="3"/>
    <n v="1"/>
    <n v="2"/>
    <m/>
    <x v="1"/>
    <x v="4"/>
    <x v="1"/>
  </r>
  <r>
    <x v="13"/>
    <x v="1"/>
    <s v="Travel_Frequently"/>
    <n v="735"/>
    <x v="1"/>
    <n v="22"/>
    <x v="2"/>
    <s v="Other"/>
    <n v="1"/>
    <n v="1932"/>
    <n v="3"/>
    <x v="1"/>
    <n v="86"/>
    <n v="2"/>
    <n v="2"/>
    <x v="1"/>
    <n v="4"/>
    <x v="1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  <x v="1"/>
    <x v="1"/>
    <x v="1"/>
  </r>
  <r>
    <x v="14"/>
    <x v="0"/>
    <s v="Travel_Rarely"/>
    <n v="1475"/>
    <x v="0"/>
    <n v="13"/>
    <x v="0"/>
    <s v="Marketing"/>
    <n v="1"/>
    <n v="1933"/>
    <n v="4"/>
    <x v="0"/>
    <n v="84"/>
    <n v="3"/>
    <n v="2"/>
    <x v="0"/>
    <n v="3"/>
    <x v="0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  <x v="0"/>
    <x v="3"/>
    <x v="0"/>
  </r>
  <r>
    <x v="40"/>
    <x v="1"/>
    <s v="Non-Travel"/>
    <n v="1169"/>
    <x v="1"/>
    <n v="14"/>
    <x v="2"/>
    <s v="Technical Degree"/>
    <n v="1"/>
    <n v="1934"/>
    <n v="3"/>
    <x v="1"/>
    <n v="64"/>
    <n v="3"/>
    <n v="2"/>
    <x v="1"/>
    <n v="2"/>
    <x v="1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  <x v="1"/>
    <x v="4"/>
    <x v="1"/>
  </r>
  <r>
    <x v="29"/>
    <x v="1"/>
    <s v="Travel_Rarely"/>
    <n v="1443"/>
    <x v="0"/>
    <n v="11"/>
    <x v="4"/>
    <s v="Marketing"/>
    <n v="1"/>
    <n v="1935"/>
    <n v="4"/>
    <x v="0"/>
    <n v="89"/>
    <n v="2"/>
    <n v="2"/>
    <x v="0"/>
    <n v="1"/>
    <x v="1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  <x v="0"/>
    <x v="3"/>
    <x v="0"/>
  </r>
  <r>
    <x v="22"/>
    <x v="1"/>
    <s v="Travel_Rarely"/>
    <n v="867"/>
    <x v="1"/>
    <n v="9"/>
    <x v="0"/>
    <s v="Medical"/>
    <n v="1"/>
    <n v="1936"/>
    <n v="1"/>
    <x v="1"/>
    <n v="87"/>
    <n v="3"/>
    <n v="2"/>
    <x v="3"/>
    <n v="1"/>
    <x v="1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  <x v="1"/>
    <x v="2"/>
    <x v="1"/>
  </r>
  <r>
    <x v="8"/>
    <x v="1"/>
    <s v="Travel_Frequently"/>
    <n v="1394"/>
    <x v="1"/>
    <n v="8"/>
    <x v="3"/>
    <s v="Medical"/>
    <n v="1"/>
    <n v="1937"/>
    <n v="4"/>
    <x v="0"/>
    <n v="58"/>
    <n v="2"/>
    <n v="2"/>
    <x v="1"/>
    <n v="2"/>
    <x v="2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  <x v="0"/>
    <x v="2"/>
    <x v="1"/>
  </r>
  <r>
    <x v="34"/>
    <x v="1"/>
    <s v="Travel_Rarely"/>
    <n v="605"/>
    <x v="0"/>
    <n v="21"/>
    <x v="3"/>
    <s v="Life Sciences"/>
    <n v="1"/>
    <n v="1938"/>
    <n v="4"/>
    <x v="0"/>
    <n v="72"/>
    <n v="3"/>
    <n v="4"/>
    <x v="5"/>
    <n v="4"/>
    <x v="1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  <x v="0"/>
    <x v="0"/>
    <x v="0"/>
  </r>
  <r>
    <x v="5"/>
    <x v="0"/>
    <s v="Travel_Frequently"/>
    <n v="238"/>
    <x v="1"/>
    <n v="5"/>
    <x v="0"/>
    <s v="Life Sciences"/>
    <n v="1"/>
    <n v="1939"/>
    <n v="1"/>
    <x v="0"/>
    <n v="47"/>
    <n v="4"/>
    <n v="1"/>
    <x v="1"/>
    <n v="3"/>
    <x v="0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  <x v="0"/>
    <x v="0"/>
    <x v="1"/>
  </r>
  <r>
    <x v="8"/>
    <x v="1"/>
    <s v="Travel_Rarely"/>
    <n v="1206"/>
    <x v="1"/>
    <n v="9"/>
    <x v="0"/>
    <s v="Life Sciences"/>
    <n v="1"/>
    <n v="1940"/>
    <n v="2"/>
    <x v="1"/>
    <n v="71"/>
    <n v="3"/>
    <n v="1"/>
    <x v="1"/>
    <n v="4"/>
    <x v="2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  <x v="1"/>
    <x v="0"/>
    <x v="1"/>
  </r>
  <r>
    <x v="1"/>
    <x v="1"/>
    <s v="Travel_Frequently"/>
    <n v="1064"/>
    <x v="1"/>
    <n v="2"/>
    <x v="1"/>
    <s v="Life Sciences"/>
    <n v="1"/>
    <n v="1941"/>
    <n v="2"/>
    <x v="1"/>
    <n v="42"/>
    <n v="3"/>
    <n v="5"/>
    <x v="7"/>
    <n v="4"/>
    <x v="1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  <x v="1"/>
    <x v="0"/>
    <x v="1"/>
  </r>
  <r>
    <x v="19"/>
    <x v="1"/>
    <s v="Travel_Rarely"/>
    <n v="419"/>
    <x v="0"/>
    <n v="12"/>
    <x v="2"/>
    <s v="Marketing"/>
    <n v="1"/>
    <n v="1943"/>
    <n v="2"/>
    <x v="1"/>
    <n v="77"/>
    <n v="3"/>
    <n v="2"/>
    <x v="0"/>
    <n v="4"/>
    <x v="2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  <x v="1"/>
    <x v="3"/>
    <x v="0"/>
  </r>
  <r>
    <x v="4"/>
    <x v="0"/>
    <s v="Travel_Frequently"/>
    <n v="1337"/>
    <x v="2"/>
    <n v="22"/>
    <x v="3"/>
    <s v="Human Resources"/>
    <n v="1"/>
    <n v="1944"/>
    <n v="1"/>
    <x v="0"/>
    <n v="58"/>
    <n v="2"/>
    <n v="1"/>
    <x v="8"/>
    <n v="2"/>
    <x v="1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  <x v="0"/>
    <x v="5"/>
    <x v="2"/>
  </r>
  <r>
    <x v="10"/>
    <x v="1"/>
    <s v="Travel_Rarely"/>
    <n v="682"/>
    <x v="0"/>
    <n v="18"/>
    <x v="2"/>
    <s v="Medical"/>
    <n v="1"/>
    <n v="1945"/>
    <n v="2"/>
    <x v="1"/>
    <n v="71"/>
    <n v="3"/>
    <n v="2"/>
    <x v="0"/>
    <n v="1"/>
    <x v="1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  <x v="1"/>
    <x v="2"/>
    <x v="0"/>
  </r>
  <r>
    <x v="14"/>
    <x v="1"/>
    <s v="Non-Travel"/>
    <n v="1103"/>
    <x v="1"/>
    <n v="16"/>
    <x v="3"/>
    <s v="Medical"/>
    <n v="1"/>
    <n v="1947"/>
    <n v="3"/>
    <x v="1"/>
    <n v="49"/>
    <n v="3"/>
    <n v="1"/>
    <x v="1"/>
    <n v="3"/>
    <x v="0"/>
    <n v="2144"/>
    <n v="2122"/>
    <n v="1"/>
    <s v="Y"/>
    <s v="No"/>
    <n v="14"/>
    <n v="3"/>
    <n v="3"/>
    <n v="80"/>
    <n v="0"/>
    <n v="5"/>
    <n v="3"/>
    <n v="2"/>
    <n v="5"/>
    <n v="3"/>
    <n v="1"/>
    <n v="4"/>
    <m/>
    <x v="1"/>
    <x v="2"/>
    <x v="1"/>
  </r>
  <r>
    <x v="12"/>
    <x v="1"/>
    <s v="Non-Travel"/>
    <n v="976"/>
    <x v="1"/>
    <n v="3"/>
    <x v="0"/>
    <s v="Medical"/>
    <n v="1"/>
    <n v="1948"/>
    <n v="3"/>
    <x v="1"/>
    <n v="48"/>
    <n v="3"/>
    <n v="1"/>
    <x v="1"/>
    <n v="1"/>
    <x v="2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  <x v="1"/>
    <x v="2"/>
    <x v="1"/>
  </r>
  <r>
    <x v="9"/>
    <x v="1"/>
    <s v="Non-Travel"/>
    <n v="1351"/>
    <x v="1"/>
    <n v="9"/>
    <x v="2"/>
    <s v="Life Sciences"/>
    <n v="1"/>
    <n v="1949"/>
    <n v="1"/>
    <x v="1"/>
    <n v="66"/>
    <n v="4"/>
    <n v="1"/>
    <x v="2"/>
    <n v="2"/>
    <x v="1"/>
    <n v="2810"/>
    <n v="9238"/>
    <n v="1"/>
    <s v="Y"/>
    <s v="No"/>
    <n v="22"/>
    <n v="4"/>
    <n v="2"/>
    <n v="80"/>
    <n v="0"/>
    <n v="5"/>
    <n v="3"/>
    <n v="3"/>
    <n v="5"/>
    <n v="4"/>
    <n v="0"/>
    <n v="2"/>
    <m/>
    <x v="1"/>
    <x v="0"/>
    <x v="1"/>
  </r>
  <r>
    <x v="13"/>
    <x v="1"/>
    <s v="Travel_Rarely"/>
    <n v="937"/>
    <x v="0"/>
    <n v="1"/>
    <x v="3"/>
    <s v="Marketing"/>
    <n v="1"/>
    <n v="1950"/>
    <n v="1"/>
    <x v="1"/>
    <n v="32"/>
    <n v="3"/>
    <n v="3"/>
    <x v="0"/>
    <n v="4"/>
    <x v="0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  <x v="1"/>
    <x v="3"/>
    <x v="0"/>
  </r>
  <r>
    <x v="13"/>
    <x v="1"/>
    <s v="Travel_Rarely"/>
    <n v="1239"/>
    <x v="0"/>
    <n v="13"/>
    <x v="2"/>
    <s v="Medical"/>
    <n v="1"/>
    <n v="1951"/>
    <n v="4"/>
    <x v="1"/>
    <n v="39"/>
    <n v="3"/>
    <n v="3"/>
    <x v="0"/>
    <n v="3"/>
    <x v="2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  <x v="1"/>
    <x v="2"/>
    <x v="0"/>
  </r>
  <r>
    <x v="25"/>
    <x v="1"/>
    <s v="Travel_Rarely"/>
    <n v="157"/>
    <x v="1"/>
    <n v="1"/>
    <x v="3"/>
    <s v="Medical"/>
    <n v="1"/>
    <n v="1952"/>
    <n v="3"/>
    <x v="1"/>
    <n v="95"/>
    <n v="3"/>
    <n v="1"/>
    <x v="2"/>
    <n v="1"/>
    <x v="0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  <x v="1"/>
    <x v="2"/>
    <x v="1"/>
  </r>
  <r>
    <x v="11"/>
    <x v="1"/>
    <s v="Travel_Rarely"/>
    <n v="136"/>
    <x v="1"/>
    <n v="1"/>
    <x v="3"/>
    <s v="Life Sciences"/>
    <n v="1"/>
    <n v="1954"/>
    <n v="1"/>
    <x v="1"/>
    <n v="89"/>
    <n v="3"/>
    <n v="2"/>
    <x v="4"/>
    <n v="1"/>
    <x v="1"/>
    <n v="5373"/>
    <n v="6225"/>
    <n v="0"/>
    <s v="Y"/>
    <s v="No"/>
    <n v="12"/>
    <n v="3"/>
    <n v="1"/>
    <n v="80"/>
    <n v="1"/>
    <n v="6"/>
    <n v="5"/>
    <n v="2"/>
    <n v="5"/>
    <n v="3"/>
    <n v="0"/>
    <n v="2"/>
    <m/>
    <x v="1"/>
    <x v="0"/>
    <x v="1"/>
  </r>
  <r>
    <x v="5"/>
    <x v="1"/>
    <s v="Non-Travel"/>
    <n v="1146"/>
    <x v="1"/>
    <n v="15"/>
    <x v="2"/>
    <s v="Medical"/>
    <n v="1"/>
    <n v="1955"/>
    <n v="3"/>
    <x v="0"/>
    <n v="34"/>
    <n v="3"/>
    <n v="2"/>
    <x v="4"/>
    <n v="4"/>
    <x v="2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  <x v="0"/>
    <x v="2"/>
    <x v="1"/>
  </r>
  <r>
    <x v="12"/>
    <x v="1"/>
    <s v="Travel_Frequently"/>
    <n v="1125"/>
    <x v="1"/>
    <n v="1"/>
    <x v="3"/>
    <s v="Life Sciences"/>
    <n v="1"/>
    <n v="1956"/>
    <n v="4"/>
    <x v="1"/>
    <n v="48"/>
    <n v="1"/>
    <n v="2"/>
    <x v="1"/>
    <n v="1"/>
    <x v="1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  <x v="1"/>
    <x v="0"/>
    <x v="1"/>
  </r>
  <r>
    <x v="14"/>
    <x v="0"/>
    <s v="Travel_Rarely"/>
    <n v="1404"/>
    <x v="1"/>
    <n v="17"/>
    <x v="3"/>
    <s v="Technical Degree"/>
    <n v="1"/>
    <n v="1960"/>
    <n v="3"/>
    <x v="1"/>
    <n v="32"/>
    <n v="2"/>
    <n v="1"/>
    <x v="2"/>
    <n v="4"/>
    <x v="2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  <x v="1"/>
    <x v="4"/>
    <x v="1"/>
  </r>
  <r>
    <x v="8"/>
    <x v="1"/>
    <s v="Travel_Rarely"/>
    <n v="1404"/>
    <x v="0"/>
    <n v="1"/>
    <x v="3"/>
    <s v="Life Sciences"/>
    <n v="1"/>
    <n v="1961"/>
    <n v="1"/>
    <x v="1"/>
    <n v="59"/>
    <n v="2"/>
    <n v="1"/>
    <x v="6"/>
    <n v="1"/>
    <x v="0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  <x v="1"/>
    <x v="0"/>
    <x v="0"/>
  </r>
  <r>
    <x v="10"/>
    <x v="1"/>
    <s v="Travel_Rarely"/>
    <n v="1224"/>
    <x v="0"/>
    <n v="7"/>
    <x v="2"/>
    <s v="Life Sciences"/>
    <n v="1"/>
    <n v="1962"/>
    <n v="3"/>
    <x v="0"/>
    <n v="55"/>
    <n v="3"/>
    <n v="2"/>
    <x v="0"/>
    <n v="4"/>
    <x v="1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  <x v="0"/>
    <x v="0"/>
    <x v="0"/>
  </r>
  <r>
    <x v="4"/>
    <x v="1"/>
    <s v="Travel_Rarely"/>
    <n v="954"/>
    <x v="0"/>
    <n v="9"/>
    <x v="3"/>
    <s v="Marketing"/>
    <n v="1"/>
    <n v="1965"/>
    <n v="4"/>
    <x v="1"/>
    <n v="44"/>
    <n v="3"/>
    <n v="2"/>
    <x v="0"/>
    <n v="4"/>
    <x v="0"/>
    <n v="4105"/>
    <n v="5099"/>
    <n v="1"/>
    <s v="Y"/>
    <s v="No"/>
    <n v="14"/>
    <n v="3"/>
    <n v="1"/>
    <n v="80"/>
    <n v="0"/>
    <n v="7"/>
    <n v="5"/>
    <n v="3"/>
    <n v="7"/>
    <n v="7"/>
    <n v="0"/>
    <n v="7"/>
    <m/>
    <x v="1"/>
    <x v="3"/>
    <x v="0"/>
  </r>
  <r>
    <x v="5"/>
    <x v="1"/>
    <s v="Travel_Rarely"/>
    <n v="1373"/>
    <x v="1"/>
    <n v="5"/>
    <x v="2"/>
    <s v="Life Sciences"/>
    <n v="1"/>
    <n v="1966"/>
    <n v="4"/>
    <x v="1"/>
    <n v="56"/>
    <n v="2"/>
    <n v="2"/>
    <x v="3"/>
    <n v="4"/>
    <x v="0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  <x v="1"/>
    <x v="0"/>
    <x v="1"/>
  </r>
  <r>
    <x v="12"/>
    <x v="0"/>
    <s v="Travel_Frequently"/>
    <n v="754"/>
    <x v="0"/>
    <n v="26"/>
    <x v="2"/>
    <s v="Marketing"/>
    <n v="1"/>
    <n v="1967"/>
    <n v="1"/>
    <x v="1"/>
    <n v="63"/>
    <n v="3"/>
    <n v="2"/>
    <x v="0"/>
    <n v="4"/>
    <x v="1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  <x v="1"/>
    <x v="3"/>
    <x v="0"/>
  </r>
  <r>
    <x v="16"/>
    <x v="0"/>
    <s v="Travel_Rarely"/>
    <n v="1168"/>
    <x v="0"/>
    <n v="24"/>
    <x v="2"/>
    <s v="Life Sciences"/>
    <n v="1"/>
    <n v="1968"/>
    <n v="1"/>
    <x v="1"/>
    <n v="66"/>
    <n v="3"/>
    <n v="3"/>
    <x v="0"/>
    <n v="1"/>
    <x v="0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  <x v="1"/>
    <x v="0"/>
    <x v="0"/>
  </r>
  <r>
    <x v="33"/>
    <x v="1"/>
    <s v="Travel_Rarely"/>
    <n v="155"/>
    <x v="1"/>
    <n v="9"/>
    <x v="0"/>
    <s v="Life Sciences"/>
    <n v="1"/>
    <n v="1969"/>
    <n v="1"/>
    <x v="0"/>
    <n v="67"/>
    <n v="3"/>
    <n v="2"/>
    <x v="1"/>
    <n v="3"/>
    <x v="1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  <x v="0"/>
    <x v="0"/>
    <x v="1"/>
  </r>
  <r>
    <x v="3"/>
    <x v="1"/>
    <s v="Travel_Frequently"/>
    <n v="1303"/>
    <x v="1"/>
    <n v="7"/>
    <x v="0"/>
    <s v="Life Sciences"/>
    <n v="1"/>
    <n v="1970"/>
    <n v="4"/>
    <x v="1"/>
    <n v="36"/>
    <n v="3"/>
    <n v="2"/>
    <x v="4"/>
    <n v="3"/>
    <x v="2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  <x v="1"/>
    <x v="0"/>
    <x v="1"/>
  </r>
  <r>
    <x v="23"/>
    <x v="1"/>
    <s v="Travel_Rarely"/>
    <n v="574"/>
    <x v="1"/>
    <n v="11"/>
    <x v="3"/>
    <s v="Life Sciences"/>
    <n v="1"/>
    <n v="1971"/>
    <n v="1"/>
    <x v="1"/>
    <n v="30"/>
    <n v="3"/>
    <n v="3"/>
    <x v="4"/>
    <n v="3"/>
    <x v="1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  <x v="1"/>
    <x v="0"/>
    <x v="1"/>
  </r>
  <r>
    <x v="8"/>
    <x v="1"/>
    <s v="Travel_Frequently"/>
    <n v="1444"/>
    <x v="2"/>
    <n v="1"/>
    <x v="2"/>
    <s v="Other"/>
    <n v="1"/>
    <n v="1972"/>
    <n v="4"/>
    <x v="1"/>
    <n v="88"/>
    <n v="3"/>
    <n v="1"/>
    <x v="8"/>
    <n v="2"/>
    <x v="1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  <x v="1"/>
    <x v="1"/>
    <x v="2"/>
  </r>
  <r>
    <x v="27"/>
    <x v="1"/>
    <s v="Travel_Rarely"/>
    <n v="189"/>
    <x v="2"/>
    <n v="26"/>
    <x v="2"/>
    <s v="Human Resources"/>
    <n v="1"/>
    <n v="1973"/>
    <n v="3"/>
    <x v="1"/>
    <n v="71"/>
    <n v="4"/>
    <n v="5"/>
    <x v="5"/>
    <n v="2"/>
    <x v="1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  <x v="1"/>
    <x v="5"/>
    <x v="2"/>
  </r>
  <r>
    <x v="12"/>
    <x v="1"/>
    <s v="Travel_Rarely"/>
    <n v="1276"/>
    <x v="1"/>
    <n v="2"/>
    <x v="1"/>
    <s v="Medical"/>
    <n v="1"/>
    <n v="1974"/>
    <n v="4"/>
    <x v="0"/>
    <n v="59"/>
    <n v="1"/>
    <n v="1"/>
    <x v="2"/>
    <n v="4"/>
    <x v="2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  <x v="0"/>
    <x v="2"/>
    <x v="1"/>
  </r>
  <r>
    <x v="22"/>
    <x v="1"/>
    <s v="Travel_Rarely"/>
    <n v="119"/>
    <x v="0"/>
    <n v="15"/>
    <x v="2"/>
    <s v="Marketing"/>
    <n v="1"/>
    <n v="1975"/>
    <n v="2"/>
    <x v="1"/>
    <n v="77"/>
    <n v="3"/>
    <n v="4"/>
    <x v="0"/>
    <n v="1"/>
    <x v="0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  <x v="1"/>
    <x v="3"/>
    <x v="0"/>
  </r>
  <r>
    <x v="19"/>
    <x v="1"/>
    <s v="Non-Travel"/>
    <n v="335"/>
    <x v="1"/>
    <n v="23"/>
    <x v="0"/>
    <s v="Life Sciences"/>
    <n v="1"/>
    <n v="1976"/>
    <n v="4"/>
    <x v="1"/>
    <n v="37"/>
    <n v="2"/>
    <n v="2"/>
    <x v="1"/>
    <n v="3"/>
    <x v="0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  <x v="1"/>
    <x v="0"/>
    <x v="1"/>
  </r>
  <r>
    <x v="12"/>
    <x v="1"/>
    <s v="Non-Travel"/>
    <n v="697"/>
    <x v="1"/>
    <n v="10"/>
    <x v="3"/>
    <s v="Medical"/>
    <n v="1"/>
    <n v="1979"/>
    <n v="3"/>
    <x v="0"/>
    <n v="40"/>
    <n v="3"/>
    <n v="3"/>
    <x v="7"/>
    <n v="3"/>
    <x v="1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  <x v="0"/>
    <x v="2"/>
    <x v="1"/>
  </r>
  <r>
    <x v="33"/>
    <x v="1"/>
    <s v="Travel_Rarely"/>
    <n v="157"/>
    <x v="1"/>
    <n v="10"/>
    <x v="3"/>
    <s v="Medical"/>
    <n v="1"/>
    <n v="1980"/>
    <n v="3"/>
    <x v="0"/>
    <n v="77"/>
    <n v="3"/>
    <n v="2"/>
    <x v="3"/>
    <n v="1"/>
    <x v="0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  <x v="0"/>
    <x v="2"/>
    <x v="1"/>
  </r>
  <r>
    <x v="17"/>
    <x v="1"/>
    <s v="Travel_Rarely"/>
    <n v="771"/>
    <x v="1"/>
    <n v="1"/>
    <x v="0"/>
    <s v="Life Sciences"/>
    <n v="1"/>
    <n v="1981"/>
    <n v="2"/>
    <x v="1"/>
    <n v="45"/>
    <n v="2"/>
    <n v="2"/>
    <x v="4"/>
    <n v="3"/>
    <x v="0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  <x v="1"/>
    <x v="0"/>
    <x v="1"/>
  </r>
  <r>
    <x v="30"/>
    <x v="1"/>
    <s v="Travel_Rarely"/>
    <n v="571"/>
    <x v="1"/>
    <n v="12"/>
    <x v="0"/>
    <s v="Other"/>
    <n v="1"/>
    <n v="1982"/>
    <n v="4"/>
    <x v="1"/>
    <n v="78"/>
    <n v="3"/>
    <n v="1"/>
    <x v="2"/>
    <n v="4"/>
    <x v="0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  <x v="1"/>
    <x v="1"/>
    <x v="1"/>
  </r>
  <r>
    <x v="32"/>
    <x v="1"/>
    <s v="Travel_Frequently"/>
    <n v="692"/>
    <x v="1"/>
    <n v="11"/>
    <x v="3"/>
    <s v="Technical Degree"/>
    <n v="1"/>
    <n v="1985"/>
    <n v="4"/>
    <x v="0"/>
    <n v="73"/>
    <n v="3"/>
    <n v="2"/>
    <x v="2"/>
    <n v="3"/>
    <x v="1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  <x v="0"/>
    <x v="4"/>
    <x v="1"/>
  </r>
  <r>
    <x v="32"/>
    <x v="1"/>
    <s v="Travel_Rarely"/>
    <n v="444"/>
    <x v="0"/>
    <n v="2"/>
    <x v="0"/>
    <s v="Marketing"/>
    <n v="1"/>
    <n v="1986"/>
    <n v="2"/>
    <x v="0"/>
    <n v="92"/>
    <n v="3"/>
    <n v="2"/>
    <x v="0"/>
    <n v="2"/>
    <x v="1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  <x v="0"/>
    <x v="3"/>
    <x v="0"/>
  </r>
  <r>
    <x v="36"/>
    <x v="1"/>
    <s v="Travel_Rarely"/>
    <n v="309"/>
    <x v="2"/>
    <n v="2"/>
    <x v="3"/>
    <s v="Human Resources"/>
    <n v="1"/>
    <n v="1987"/>
    <n v="3"/>
    <x v="0"/>
    <n v="82"/>
    <n v="3"/>
    <n v="1"/>
    <x v="8"/>
    <n v="2"/>
    <x v="1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  <x v="0"/>
    <x v="5"/>
    <x v="2"/>
  </r>
  <r>
    <x v="7"/>
    <x v="1"/>
    <s v="Travel_Rarely"/>
    <n v="911"/>
    <x v="1"/>
    <n v="1"/>
    <x v="0"/>
    <s v="Medical"/>
    <n v="1"/>
    <n v="1989"/>
    <n v="4"/>
    <x v="1"/>
    <n v="76"/>
    <n v="3"/>
    <n v="1"/>
    <x v="2"/>
    <n v="2"/>
    <x v="1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  <x v="1"/>
    <x v="2"/>
    <x v="1"/>
  </r>
  <r>
    <x v="36"/>
    <x v="1"/>
    <s v="Travel_Rarely"/>
    <n v="977"/>
    <x v="1"/>
    <n v="2"/>
    <x v="1"/>
    <s v="Other"/>
    <n v="1"/>
    <n v="1992"/>
    <n v="4"/>
    <x v="1"/>
    <n v="57"/>
    <n v="3"/>
    <n v="1"/>
    <x v="2"/>
    <n v="3"/>
    <x v="2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  <x v="1"/>
    <x v="1"/>
    <x v="1"/>
  </r>
  <r>
    <x v="40"/>
    <x v="1"/>
    <s v="Travel_Rarely"/>
    <n v="1180"/>
    <x v="1"/>
    <n v="25"/>
    <x v="3"/>
    <s v="Medical"/>
    <n v="1"/>
    <n v="1993"/>
    <n v="1"/>
    <x v="1"/>
    <n v="84"/>
    <n v="3"/>
    <n v="3"/>
    <x v="4"/>
    <n v="3"/>
    <x v="0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  <x v="1"/>
    <x v="2"/>
    <x v="1"/>
  </r>
  <r>
    <x v="3"/>
    <x v="1"/>
    <s v="Non-Travel"/>
    <n v="1313"/>
    <x v="1"/>
    <n v="1"/>
    <x v="0"/>
    <s v="Medical"/>
    <n v="1"/>
    <n v="1994"/>
    <n v="2"/>
    <x v="1"/>
    <n v="59"/>
    <n v="2"/>
    <n v="1"/>
    <x v="2"/>
    <n v="3"/>
    <x v="2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  <x v="1"/>
    <x v="2"/>
    <x v="1"/>
  </r>
  <r>
    <x v="8"/>
    <x v="1"/>
    <s v="Travel_Rarely"/>
    <n v="1321"/>
    <x v="0"/>
    <n v="1"/>
    <x v="2"/>
    <s v="Life Sciences"/>
    <n v="1"/>
    <n v="1995"/>
    <n v="4"/>
    <x v="1"/>
    <n v="86"/>
    <n v="3"/>
    <n v="2"/>
    <x v="0"/>
    <n v="2"/>
    <x v="1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  <x v="1"/>
    <x v="0"/>
    <x v="0"/>
  </r>
  <r>
    <x v="12"/>
    <x v="1"/>
    <s v="Travel_Rarely"/>
    <n v="1154"/>
    <x v="0"/>
    <n v="2"/>
    <x v="0"/>
    <s v="Life Sciences"/>
    <n v="1"/>
    <n v="1996"/>
    <n v="1"/>
    <x v="1"/>
    <n v="54"/>
    <n v="3"/>
    <n v="1"/>
    <x v="6"/>
    <n v="3"/>
    <x v="1"/>
    <n v="3067"/>
    <n v="6393"/>
    <n v="0"/>
    <s v="Y"/>
    <s v="No"/>
    <n v="19"/>
    <n v="3"/>
    <n v="3"/>
    <n v="80"/>
    <n v="1"/>
    <n v="3"/>
    <n v="1"/>
    <n v="3"/>
    <n v="2"/>
    <n v="2"/>
    <n v="1"/>
    <n v="2"/>
    <m/>
    <x v="1"/>
    <x v="0"/>
    <x v="0"/>
  </r>
  <r>
    <x v="8"/>
    <x v="1"/>
    <s v="Travel_Frequently"/>
    <n v="508"/>
    <x v="1"/>
    <n v="6"/>
    <x v="2"/>
    <s v="Life Sciences"/>
    <n v="1"/>
    <n v="1997"/>
    <n v="1"/>
    <x v="1"/>
    <n v="72"/>
    <n v="2"/>
    <n v="2"/>
    <x v="3"/>
    <n v="3"/>
    <x v="1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  <x v="1"/>
    <x v="0"/>
    <x v="1"/>
  </r>
  <r>
    <x v="19"/>
    <x v="1"/>
    <s v="Travel_Rarely"/>
    <n v="557"/>
    <x v="1"/>
    <n v="18"/>
    <x v="2"/>
    <s v="Life Sciences"/>
    <n v="1"/>
    <n v="1998"/>
    <n v="4"/>
    <x v="1"/>
    <n v="35"/>
    <n v="3"/>
    <n v="2"/>
    <x v="1"/>
    <n v="1"/>
    <x v="2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  <x v="1"/>
    <x v="0"/>
    <x v="1"/>
  </r>
  <r>
    <x v="0"/>
    <x v="1"/>
    <s v="Travel_Rarely"/>
    <n v="642"/>
    <x v="1"/>
    <n v="1"/>
    <x v="3"/>
    <s v="Life Sciences"/>
    <n v="1"/>
    <n v="1999"/>
    <n v="4"/>
    <x v="1"/>
    <n v="76"/>
    <n v="3"/>
    <n v="1"/>
    <x v="1"/>
    <n v="4"/>
    <x v="1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  <x v="1"/>
    <x v="0"/>
    <x v="1"/>
  </r>
  <r>
    <x v="40"/>
    <x v="1"/>
    <s v="Non-Travel"/>
    <n v="1162"/>
    <x v="1"/>
    <n v="1"/>
    <x v="1"/>
    <s v="Medical"/>
    <n v="1"/>
    <n v="2000"/>
    <n v="3"/>
    <x v="0"/>
    <n v="98"/>
    <n v="3"/>
    <n v="3"/>
    <x v="7"/>
    <n v="2"/>
    <x v="1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  <x v="0"/>
    <x v="2"/>
    <x v="1"/>
  </r>
  <r>
    <x v="10"/>
    <x v="1"/>
    <s v="Travel_Rarely"/>
    <n v="1490"/>
    <x v="1"/>
    <n v="11"/>
    <x v="2"/>
    <s v="Medical"/>
    <n v="1"/>
    <n v="2003"/>
    <n v="4"/>
    <x v="1"/>
    <n v="43"/>
    <n v="3"/>
    <n v="1"/>
    <x v="2"/>
    <n v="3"/>
    <x v="1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  <x v="1"/>
    <x v="2"/>
    <x v="1"/>
  </r>
  <r>
    <x v="15"/>
    <x v="1"/>
    <s v="Travel_Rarely"/>
    <n v="581"/>
    <x v="1"/>
    <n v="1"/>
    <x v="0"/>
    <s v="Life Sciences"/>
    <n v="1"/>
    <n v="2007"/>
    <n v="4"/>
    <x v="1"/>
    <n v="63"/>
    <n v="3"/>
    <n v="1"/>
    <x v="1"/>
    <n v="3"/>
    <x v="0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  <x v="1"/>
    <x v="0"/>
    <x v="1"/>
  </r>
  <r>
    <x v="10"/>
    <x v="1"/>
    <s v="Travel_Rarely"/>
    <n v="1395"/>
    <x v="1"/>
    <n v="9"/>
    <x v="2"/>
    <s v="Medical"/>
    <n v="1"/>
    <n v="2008"/>
    <n v="2"/>
    <x v="1"/>
    <n v="48"/>
    <n v="3"/>
    <n v="2"/>
    <x v="1"/>
    <n v="3"/>
    <x v="0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  <x v="1"/>
    <x v="2"/>
    <x v="1"/>
  </r>
  <r>
    <x v="3"/>
    <x v="1"/>
    <s v="Travel_Rarely"/>
    <n v="501"/>
    <x v="1"/>
    <n v="15"/>
    <x v="0"/>
    <s v="Medical"/>
    <n v="1"/>
    <n v="2009"/>
    <n v="2"/>
    <x v="0"/>
    <n v="95"/>
    <n v="3"/>
    <n v="2"/>
    <x v="4"/>
    <n v="4"/>
    <x v="1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  <x v="0"/>
    <x v="2"/>
    <x v="1"/>
  </r>
  <r>
    <x v="5"/>
    <x v="1"/>
    <s v="Travel_Rarely"/>
    <n v="267"/>
    <x v="1"/>
    <n v="29"/>
    <x v="2"/>
    <s v="Life Sciences"/>
    <n v="1"/>
    <n v="2010"/>
    <n v="3"/>
    <x v="0"/>
    <n v="49"/>
    <n v="2"/>
    <n v="1"/>
    <x v="2"/>
    <n v="2"/>
    <x v="0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  <x v="0"/>
    <x v="0"/>
    <x v="1"/>
  </r>
  <r>
    <x v="32"/>
    <x v="1"/>
    <s v="Travel_Rarely"/>
    <n v="543"/>
    <x v="1"/>
    <n v="1"/>
    <x v="2"/>
    <s v="Life Sciences"/>
    <n v="1"/>
    <n v="2012"/>
    <n v="1"/>
    <x v="1"/>
    <n v="83"/>
    <n v="3"/>
    <n v="1"/>
    <x v="2"/>
    <n v="4"/>
    <x v="1"/>
    <n v="2406"/>
    <n v="4060"/>
    <n v="8"/>
    <s v="Y"/>
    <s v="No"/>
    <n v="19"/>
    <n v="3"/>
    <n v="3"/>
    <n v="80"/>
    <n v="2"/>
    <n v="8"/>
    <n v="3"/>
    <n v="2"/>
    <n v="1"/>
    <n v="0"/>
    <n v="0"/>
    <n v="0"/>
    <m/>
    <x v="1"/>
    <x v="0"/>
    <x v="1"/>
  </r>
  <r>
    <x v="5"/>
    <x v="1"/>
    <s v="Travel_Rarely"/>
    <n v="234"/>
    <x v="0"/>
    <n v="1"/>
    <x v="2"/>
    <s v="Medical"/>
    <n v="1"/>
    <n v="2013"/>
    <n v="2"/>
    <x v="1"/>
    <n v="68"/>
    <n v="2"/>
    <n v="1"/>
    <x v="6"/>
    <n v="2"/>
    <x v="1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  <x v="1"/>
    <x v="2"/>
    <x v="0"/>
  </r>
  <r>
    <x v="22"/>
    <x v="1"/>
    <s v="Travel_Rarely"/>
    <n v="116"/>
    <x v="1"/>
    <n v="24"/>
    <x v="1"/>
    <s v="Life Sciences"/>
    <n v="1"/>
    <n v="2014"/>
    <n v="1"/>
    <x v="1"/>
    <n v="52"/>
    <n v="3"/>
    <n v="2"/>
    <x v="1"/>
    <n v="4"/>
    <x v="0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  <x v="1"/>
    <x v="0"/>
    <x v="1"/>
  </r>
  <r>
    <x v="8"/>
    <x v="1"/>
    <s v="Travel_Rarely"/>
    <n v="201"/>
    <x v="1"/>
    <n v="10"/>
    <x v="3"/>
    <s v="Medical"/>
    <n v="1"/>
    <n v="2015"/>
    <n v="2"/>
    <x v="0"/>
    <n v="99"/>
    <n v="1"/>
    <n v="3"/>
    <x v="7"/>
    <n v="3"/>
    <x v="1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  <x v="0"/>
    <x v="2"/>
    <x v="1"/>
  </r>
  <r>
    <x v="5"/>
    <x v="1"/>
    <s v="Travel_Rarely"/>
    <n v="801"/>
    <x v="0"/>
    <n v="1"/>
    <x v="2"/>
    <s v="Marketing"/>
    <n v="1"/>
    <n v="2016"/>
    <n v="3"/>
    <x v="0"/>
    <n v="48"/>
    <n v="3"/>
    <n v="3"/>
    <x v="0"/>
    <n v="4"/>
    <x v="1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  <x v="0"/>
    <x v="3"/>
    <x v="0"/>
  </r>
  <r>
    <x v="2"/>
    <x v="1"/>
    <s v="Travel_Rarely"/>
    <n v="161"/>
    <x v="1"/>
    <n v="10"/>
    <x v="3"/>
    <s v="Life Sciences"/>
    <n v="1"/>
    <n v="2017"/>
    <n v="3"/>
    <x v="0"/>
    <n v="42"/>
    <n v="4"/>
    <n v="3"/>
    <x v="7"/>
    <n v="4"/>
    <x v="1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  <x v="0"/>
    <x v="0"/>
    <x v="1"/>
  </r>
  <r>
    <x v="36"/>
    <x v="1"/>
    <s v="Travel_Rarely"/>
    <n v="1382"/>
    <x v="0"/>
    <n v="8"/>
    <x v="0"/>
    <s v="Other"/>
    <n v="1"/>
    <n v="2018"/>
    <n v="1"/>
    <x v="0"/>
    <n v="85"/>
    <n v="3"/>
    <n v="2"/>
    <x v="0"/>
    <n v="3"/>
    <x v="2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  <x v="0"/>
    <x v="1"/>
    <x v="0"/>
  </r>
  <r>
    <x v="39"/>
    <x v="1"/>
    <s v="Non-Travel"/>
    <n v="585"/>
    <x v="0"/>
    <n v="29"/>
    <x v="2"/>
    <s v="Life Sciences"/>
    <n v="1"/>
    <n v="2019"/>
    <n v="1"/>
    <x v="1"/>
    <n v="40"/>
    <n v="3"/>
    <n v="1"/>
    <x v="6"/>
    <n v="4"/>
    <x v="2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  <x v="1"/>
    <x v="0"/>
    <x v="0"/>
  </r>
  <r>
    <x v="20"/>
    <x v="1"/>
    <s v="Travel_Rarely"/>
    <n v="1037"/>
    <x v="1"/>
    <n v="1"/>
    <x v="3"/>
    <s v="Medical"/>
    <n v="1"/>
    <n v="2020"/>
    <n v="2"/>
    <x v="1"/>
    <n v="42"/>
    <n v="3"/>
    <n v="1"/>
    <x v="1"/>
    <n v="4"/>
    <x v="0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  <x v="1"/>
    <x v="2"/>
    <x v="1"/>
  </r>
  <r>
    <x v="18"/>
    <x v="1"/>
    <s v="Travel_Rarely"/>
    <n v="501"/>
    <x v="0"/>
    <n v="5"/>
    <x v="1"/>
    <s v="Medical"/>
    <n v="1"/>
    <n v="2021"/>
    <n v="3"/>
    <x v="1"/>
    <n v="58"/>
    <n v="3"/>
    <n v="1"/>
    <x v="6"/>
    <n v="1"/>
    <x v="0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  <x v="1"/>
    <x v="2"/>
    <x v="0"/>
  </r>
  <r>
    <x v="22"/>
    <x v="1"/>
    <s v="Non-Travel"/>
    <n v="105"/>
    <x v="1"/>
    <n v="9"/>
    <x v="3"/>
    <s v="Life Sciences"/>
    <n v="1"/>
    <n v="2022"/>
    <n v="4"/>
    <x v="1"/>
    <n v="87"/>
    <n v="3"/>
    <n v="5"/>
    <x v="5"/>
    <n v="4"/>
    <x v="0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  <x v="1"/>
    <x v="0"/>
    <x v="1"/>
  </r>
  <r>
    <x v="30"/>
    <x v="0"/>
    <s v="Travel_Frequently"/>
    <n v="638"/>
    <x v="0"/>
    <n v="9"/>
    <x v="3"/>
    <s v="Marketing"/>
    <n v="1"/>
    <n v="2023"/>
    <n v="4"/>
    <x v="1"/>
    <n v="33"/>
    <n v="3"/>
    <n v="1"/>
    <x v="6"/>
    <n v="1"/>
    <x v="1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  <x v="1"/>
    <x v="3"/>
    <x v="0"/>
  </r>
  <r>
    <x v="9"/>
    <x v="1"/>
    <s v="Travel_Rarely"/>
    <n v="557"/>
    <x v="0"/>
    <n v="3"/>
    <x v="3"/>
    <s v="Medical"/>
    <n v="1"/>
    <n v="2024"/>
    <n v="1"/>
    <x v="0"/>
    <n v="94"/>
    <n v="2"/>
    <n v="3"/>
    <x v="0"/>
    <n v="4"/>
    <x v="1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  <x v="0"/>
    <x v="2"/>
    <x v="0"/>
  </r>
  <r>
    <x v="9"/>
    <x v="1"/>
    <s v="Travel_Frequently"/>
    <n v="688"/>
    <x v="1"/>
    <n v="4"/>
    <x v="0"/>
    <s v="Life Sciences"/>
    <n v="1"/>
    <n v="2025"/>
    <n v="4"/>
    <x v="0"/>
    <n v="97"/>
    <n v="3"/>
    <n v="2"/>
    <x v="3"/>
    <n v="2"/>
    <x v="2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  <x v="0"/>
    <x v="0"/>
    <x v="1"/>
  </r>
  <r>
    <x v="29"/>
    <x v="1"/>
    <s v="Non-Travel"/>
    <n v="667"/>
    <x v="1"/>
    <n v="1"/>
    <x v="2"/>
    <s v="Life Sciences"/>
    <n v="1"/>
    <n v="2026"/>
    <n v="3"/>
    <x v="1"/>
    <n v="57"/>
    <n v="3"/>
    <n v="2"/>
    <x v="4"/>
    <n v="3"/>
    <x v="2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  <x v="1"/>
    <x v="0"/>
    <x v="1"/>
  </r>
  <r>
    <x v="11"/>
    <x v="0"/>
    <s v="Travel_Rarely"/>
    <n v="1092"/>
    <x v="1"/>
    <n v="1"/>
    <x v="2"/>
    <s v="Medical"/>
    <n v="1"/>
    <n v="2027"/>
    <n v="1"/>
    <x v="1"/>
    <n v="36"/>
    <n v="3"/>
    <n v="1"/>
    <x v="1"/>
    <n v="4"/>
    <x v="1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  <x v="1"/>
    <x v="2"/>
    <x v="1"/>
  </r>
  <r>
    <x v="19"/>
    <x v="1"/>
    <s v="Travel_Rarely"/>
    <n v="300"/>
    <x v="1"/>
    <n v="2"/>
    <x v="3"/>
    <s v="Life Sciences"/>
    <n v="1"/>
    <n v="2031"/>
    <n v="1"/>
    <x v="1"/>
    <n v="56"/>
    <n v="3"/>
    <n v="5"/>
    <x v="5"/>
    <n v="3"/>
    <x v="1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  <x v="1"/>
    <x v="0"/>
    <x v="1"/>
  </r>
  <r>
    <x v="29"/>
    <x v="0"/>
    <s v="Travel_Rarely"/>
    <n v="310"/>
    <x v="1"/>
    <n v="7"/>
    <x v="0"/>
    <s v="Technical Degree"/>
    <n v="1"/>
    <n v="2032"/>
    <n v="4"/>
    <x v="1"/>
    <n v="72"/>
    <n v="3"/>
    <n v="1"/>
    <x v="2"/>
    <n v="3"/>
    <x v="1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  <x v="1"/>
    <x v="4"/>
    <x v="1"/>
  </r>
  <r>
    <x v="0"/>
    <x v="1"/>
    <s v="Travel_Rarely"/>
    <n v="582"/>
    <x v="1"/>
    <n v="28"/>
    <x v="2"/>
    <s v="Life Sciences"/>
    <n v="1"/>
    <n v="2034"/>
    <n v="1"/>
    <x v="0"/>
    <n v="60"/>
    <n v="2"/>
    <n v="4"/>
    <x v="3"/>
    <n v="2"/>
    <x v="1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  <x v="0"/>
    <x v="0"/>
    <x v="1"/>
  </r>
  <r>
    <x v="13"/>
    <x v="1"/>
    <s v="Travel_Rarely"/>
    <n v="704"/>
    <x v="0"/>
    <n v="28"/>
    <x v="3"/>
    <s v="Marketing"/>
    <n v="1"/>
    <n v="2035"/>
    <n v="4"/>
    <x v="0"/>
    <n v="95"/>
    <n v="2"/>
    <n v="2"/>
    <x v="0"/>
    <n v="3"/>
    <x v="1"/>
    <n v="6712"/>
    <n v="8978"/>
    <n v="1"/>
    <s v="Y"/>
    <s v="No"/>
    <n v="21"/>
    <n v="4"/>
    <n v="4"/>
    <n v="80"/>
    <n v="2"/>
    <n v="8"/>
    <n v="2"/>
    <n v="3"/>
    <n v="8"/>
    <n v="7"/>
    <n v="1"/>
    <n v="7"/>
    <m/>
    <x v="0"/>
    <x v="3"/>
    <x v="0"/>
  </r>
  <r>
    <x v="9"/>
    <x v="1"/>
    <s v="Non-Travel"/>
    <n v="301"/>
    <x v="0"/>
    <n v="15"/>
    <x v="2"/>
    <s v="Marketing"/>
    <n v="1"/>
    <n v="2036"/>
    <n v="4"/>
    <x v="1"/>
    <n v="88"/>
    <n v="1"/>
    <n v="2"/>
    <x v="0"/>
    <n v="4"/>
    <x v="2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  <x v="1"/>
    <x v="3"/>
    <x v="0"/>
  </r>
  <r>
    <x v="0"/>
    <x v="1"/>
    <s v="Travel_Rarely"/>
    <n v="930"/>
    <x v="0"/>
    <n v="3"/>
    <x v="3"/>
    <s v="Life Sciences"/>
    <n v="1"/>
    <n v="2037"/>
    <n v="3"/>
    <x v="1"/>
    <n v="57"/>
    <n v="2"/>
    <n v="2"/>
    <x v="0"/>
    <n v="2"/>
    <x v="2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  <x v="1"/>
    <x v="0"/>
    <x v="0"/>
  </r>
  <r>
    <x v="5"/>
    <x v="1"/>
    <s v="Travel_Rarely"/>
    <n v="529"/>
    <x v="1"/>
    <n v="2"/>
    <x v="3"/>
    <s v="Technical Degree"/>
    <n v="1"/>
    <n v="2038"/>
    <n v="4"/>
    <x v="1"/>
    <n v="78"/>
    <n v="3"/>
    <n v="1"/>
    <x v="1"/>
    <n v="1"/>
    <x v="0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  <x v="1"/>
    <x v="4"/>
    <x v="1"/>
  </r>
  <r>
    <x v="10"/>
    <x v="1"/>
    <s v="Travel_Rarely"/>
    <n v="1146"/>
    <x v="2"/>
    <n v="26"/>
    <x v="2"/>
    <s v="Life Sciences"/>
    <n v="1"/>
    <n v="2040"/>
    <n v="3"/>
    <x v="0"/>
    <n v="31"/>
    <n v="3"/>
    <n v="3"/>
    <x v="8"/>
    <n v="4"/>
    <x v="0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  <x v="0"/>
    <x v="0"/>
    <x v="2"/>
  </r>
  <r>
    <x v="8"/>
    <x v="1"/>
    <s v="Travel_Rarely"/>
    <n v="345"/>
    <x v="0"/>
    <n v="10"/>
    <x v="0"/>
    <s v="Life Sciences"/>
    <n v="1"/>
    <n v="2041"/>
    <n v="1"/>
    <x v="0"/>
    <n v="100"/>
    <n v="3"/>
    <n v="2"/>
    <x v="0"/>
    <n v="4"/>
    <x v="1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  <x v="0"/>
    <x v="0"/>
    <x v="0"/>
  </r>
  <r>
    <x v="24"/>
    <x v="0"/>
    <s v="Travel_Frequently"/>
    <n v="878"/>
    <x v="0"/>
    <n v="1"/>
    <x v="2"/>
    <s v="Life Sciences"/>
    <n v="1"/>
    <n v="2044"/>
    <n v="2"/>
    <x v="1"/>
    <n v="94"/>
    <n v="3"/>
    <n v="2"/>
    <x v="0"/>
    <n v="3"/>
    <x v="2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  <x v="1"/>
    <x v="0"/>
    <x v="0"/>
  </r>
  <r>
    <x v="9"/>
    <x v="1"/>
    <s v="Travel_Rarely"/>
    <n v="1120"/>
    <x v="0"/>
    <n v="11"/>
    <x v="2"/>
    <s v="Marketing"/>
    <n v="1"/>
    <n v="2045"/>
    <n v="2"/>
    <x v="0"/>
    <n v="100"/>
    <n v="2"/>
    <n v="2"/>
    <x v="0"/>
    <n v="4"/>
    <x v="1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  <x v="0"/>
    <x v="3"/>
    <x v="0"/>
  </r>
  <r>
    <x v="28"/>
    <x v="1"/>
    <s v="Travel_Rarely"/>
    <n v="374"/>
    <x v="0"/>
    <n v="20"/>
    <x v="3"/>
    <s v="Life Sciences"/>
    <n v="1"/>
    <n v="2046"/>
    <n v="4"/>
    <x v="0"/>
    <n v="50"/>
    <n v="3"/>
    <n v="2"/>
    <x v="0"/>
    <n v="3"/>
    <x v="0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  <x v="0"/>
    <x v="0"/>
    <x v="0"/>
  </r>
  <r>
    <x v="32"/>
    <x v="1"/>
    <s v="Travel_Rarely"/>
    <n v="1322"/>
    <x v="1"/>
    <n v="2"/>
    <x v="2"/>
    <s v="Life Sciences"/>
    <n v="1"/>
    <n v="2048"/>
    <n v="3"/>
    <x v="1"/>
    <n v="52"/>
    <n v="2"/>
    <n v="1"/>
    <x v="1"/>
    <n v="3"/>
    <x v="0"/>
    <n v="2809"/>
    <n v="2725"/>
    <n v="2"/>
    <s v="Y"/>
    <s v="No"/>
    <n v="14"/>
    <n v="3"/>
    <n v="4"/>
    <n v="80"/>
    <n v="0"/>
    <n v="8"/>
    <n v="2"/>
    <n v="3"/>
    <n v="2"/>
    <n v="2"/>
    <n v="2"/>
    <n v="2"/>
    <m/>
    <x v="1"/>
    <x v="0"/>
    <x v="1"/>
  </r>
  <r>
    <x v="10"/>
    <x v="1"/>
    <s v="Travel_Frequently"/>
    <n v="1199"/>
    <x v="1"/>
    <n v="18"/>
    <x v="2"/>
    <s v="Life Sciences"/>
    <n v="1"/>
    <n v="2049"/>
    <n v="3"/>
    <x v="1"/>
    <n v="80"/>
    <n v="3"/>
    <n v="2"/>
    <x v="4"/>
    <n v="3"/>
    <x v="1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  <x v="1"/>
    <x v="0"/>
    <x v="1"/>
  </r>
  <r>
    <x v="32"/>
    <x v="1"/>
    <s v="Travel_Rarely"/>
    <n v="1194"/>
    <x v="1"/>
    <n v="2"/>
    <x v="2"/>
    <s v="Medical"/>
    <n v="1"/>
    <n v="2051"/>
    <n v="3"/>
    <x v="0"/>
    <n v="98"/>
    <n v="3"/>
    <n v="1"/>
    <x v="1"/>
    <n v="3"/>
    <x v="1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  <x v="0"/>
    <x v="2"/>
    <x v="1"/>
  </r>
  <r>
    <x v="10"/>
    <x v="1"/>
    <s v="Travel_Rarely"/>
    <n v="287"/>
    <x v="1"/>
    <n v="1"/>
    <x v="2"/>
    <s v="Life Sciences"/>
    <n v="1"/>
    <n v="2052"/>
    <n v="3"/>
    <x v="0"/>
    <n v="62"/>
    <n v="1"/>
    <n v="1"/>
    <x v="1"/>
    <n v="4"/>
    <x v="1"/>
    <n v="2977"/>
    <n v="8952"/>
    <n v="1"/>
    <s v="Y"/>
    <s v="No"/>
    <n v="12"/>
    <n v="3"/>
    <n v="4"/>
    <n v="80"/>
    <n v="1"/>
    <n v="4"/>
    <n v="5"/>
    <n v="3"/>
    <n v="4"/>
    <n v="3"/>
    <n v="1"/>
    <n v="1"/>
    <m/>
    <x v="0"/>
    <x v="0"/>
    <x v="1"/>
  </r>
  <r>
    <x v="11"/>
    <x v="1"/>
    <s v="Travel_Rarely"/>
    <n v="1378"/>
    <x v="1"/>
    <n v="13"/>
    <x v="0"/>
    <s v="Other"/>
    <n v="1"/>
    <n v="2053"/>
    <n v="4"/>
    <x v="1"/>
    <n v="46"/>
    <n v="2"/>
    <n v="2"/>
    <x v="2"/>
    <n v="2"/>
    <x v="1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  <x v="1"/>
    <x v="1"/>
    <x v="1"/>
  </r>
  <r>
    <x v="11"/>
    <x v="1"/>
    <s v="Travel_Rarely"/>
    <n v="468"/>
    <x v="1"/>
    <n v="28"/>
    <x v="2"/>
    <s v="Medical"/>
    <n v="1"/>
    <n v="2054"/>
    <n v="4"/>
    <x v="0"/>
    <n v="73"/>
    <n v="2"/>
    <n v="1"/>
    <x v="1"/>
    <n v="1"/>
    <x v="0"/>
    <n v="3785"/>
    <n v="8489"/>
    <n v="1"/>
    <s v="Y"/>
    <s v="No"/>
    <n v="14"/>
    <n v="3"/>
    <n v="2"/>
    <n v="80"/>
    <n v="0"/>
    <n v="5"/>
    <n v="3"/>
    <n v="1"/>
    <n v="5"/>
    <n v="4"/>
    <n v="0"/>
    <n v="4"/>
    <m/>
    <x v="0"/>
    <x v="2"/>
    <x v="1"/>
  </r>
  <r>
    <x v="24"/>
    <x v="0"/>
    <s v="Travel_Rarely"/>
    <n v="410"/>
    <x v="0"/>
    <n v="28"/>
    <x v="3"/>
    <s v="Marketing"/>
    <n v="1"/>
    <n v="2055"/>
    <n v="4"/>
    <x v="1"/>
    <n v="39"/>
    <n v="2"/>
    <n v="3"/>
    <x v="0"/>
    <n v="1"/>
    <x v="2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  <x v="1"/>
    <x v="3"/>
    <x v="0"/>
  </r>
  <r>
    <x v="22"/>
    <x v="1"/>
    <s v="Travel_Rarely"/>
    <n v="722"/>
    <x v="0"/>
    <n v="24"/>
    <x v="1"/>
    <s v="Marketing"/>
    <n v="1"/>
    <n v="2056"/>
    <n v="2"/>
    <x v="0"/>
    <n v="60"/>
    <n v="2"/>
    <n v="4"/>
    <x v="0"/>
    <n v="4"/>
    <x v="1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  <x v="0"/>
    <x v="3"/>
    <x v="0"/>
  </r>
  <r>
    <x v="12"/>
    <x v="1"/>
    <s v="Non-Travel"/>
    <n v="325"/>
    <x v="1"/>
    <n v="5"/>
    <x v="3"/>
    <s v="Medical"/>
    <n v="1"/>
    <n v="2057"/>
    <n v="2"/>
    <x v="1"/>
    <n v="74"/>
    <n v="3"/>
    <n v="2"/>
    <x v="3"/>
    <n v="1"/>
    <x v="0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  <x v="1"/>
    <x v="2"/>
    <x v="1"/>
  </r>
  <r>
    <x v="25"/>
    <x v="1"/>
    <s v="Travel_Rarely"/>
    <n v="1167"/>
    <x v="0"/>
    <n v="5"/>
    <x v="3"/>
    <s v="Other"/>
    <n v="1"/>
    <n v="2060"/>
    <n v="4"/>
    <x v="0"/>
    <n v="30"/>
    <n v="2"/>
    <n v="1"/>
    <x v="6"/>
    <n v="3"/>
    <x v="0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  <x v="0"/>
    <x v="1"/>
    <x v="0"/>
  </r>
  <r>
    <x v="9"/>
    <x v="1"/>
    <s v="Travel_Frequently"/>
    <n v="884"/>
    <x v="1"/>
    <n v="23"/>
    <x v="0"/>
    <s v="Medical"/>
    <n v="1"/>
    <n v="2061"/>
    <n v="3"/>
    <x v="1"/>
    <n v="41"/>
    <n v="4"/>
    <n v="2"/>
    <x v="2"/>
    <n v="4"/>
    <x v="1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  <x v="1"/>
    <x v="2"/>
    <x v="1"/>
  </r>
  <r>
    <x v="22"/>
    <x v="1"/>
    <s v="Travel_Rarely"/>
    <n v="613"/>
    <x v="1"/>
    <n v="6"/>
    <x v="1"/>
    <s v="Medical"/>
    <n v="1"/>
    <n v="2062"/>
    <n v="4"/>
    <x v="1"/>
    <n v="42"/>
    <n v="2"/>
    <n v="3"/>
    <x v="4"/>
    <n v="1"/>
    <x v="1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  <x v="1"/>
    <x v="2"/>
    <x v="1"/>
  </r>
  <r>
    <x v="4"/>
    <x v="1"/>
    <s v="Travel_Rarely"/>
    <n v="155"/>
    <x v="1"/>
    <n v="4"/>
    <x v="3"/>
    <s v="Life Sciences"/>
    <n v="1"/>
    <n v="2064"/>
    <n v="2"/>
    <x v="1"/>
    <n v="87"/>
    <n v="4"/>
    <n v="2"/>
    <x v="3"/>
    <n v="2"/>
    <x v="1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  <x v="1"/>
    <x v="0"/>
    <x v="1"/>
  </r>
  <r>
    <x v="1"/>
    <x v="1"/>
    <s v="Travel_Frequently"/>
    <n v="1023"/>
    <x v="0"/>
    <n v="2"/>
    <x v="3"/>
    <s v="Medical"/>
    <n v="1"/>
    <n v="2065"/>
    <n v="4"/>
    <x v="1"/>
    <n v="63"/>
    <n v="2"/>
    <n v="2"/>
    <x v="0"/>
    <n v="2"/>
    <x v="1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  <x v="1"/>
    <x v="2"/>
    <x v="0"/>
  </r>
  <r>
    <x v="13"/>
    <x v="1"/>
    <s v="Travel_Rarely"/>
    <n v="628"/>
    <x v="1"/>
    <n v="8"/>
    <x v="3"/>
    <s v="Medical"/>
    <n v="1"/>
    <n v="2068"/>
    <n v="2"/>
    <x v="1"/>
    <n v="82"/>
    <n v="4"/>
    <n v="2"/>
    <x v="2"/>
    <n v="3"/>
    <x v="1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07032-54A3-4057-9B17-6F94735A159F}" name="Tabela dinâmica2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8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EmployeeNumber" fld="9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72854-0FFC-4DB9-9998-F951C74BFD2E}" name="tbDinamica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C6" firstHeaderRow="0" firstDataRow="1" firstDataCol="1"/>
  <pivotFields count="39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EmployeeNumber" fld="9" subtotal="count" baseField="0" baseItem="67"/>
    <dataField name="Média de Age" fld="0" subtotal="average" baseField="1" baseItem="1" numFmtId="2"/>
  </dataFields>
  <formats count="1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293F9-AE23-4DCF-8B48-93333E42C08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ntagem de EmployeeCount" fld="8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DEB94-9062-469D-91E9-D4037ABA7813}" name="Tabela dinâ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10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EmployeeNumber" fld="9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333BB-2BC6-40CC-851E-53854328CA89}" name="Tabela dinâ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14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EmployeeNumber" fld="9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895D7-117C-4D1B-8398-95C8294ECC00}" name="Tabela dinâmica1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8" firstHeaderRow="1" firstDataRow="2" firstDataCol="1"/>
  <pivotFields count="39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EmployeeNumber" fld="9" subtotal="count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50141-D15C-4787-928E-843E08760EAB}" name="Tabela dinâmica2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10" firstHeaderRow="1" firstDataRow="2" firstDataCol="1"/>
  <pivotFields count="39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4">
        <item x="1"/>
        <item x="2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Ag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5D674F5-FCE8-4199-A01B-7064433EA367}" autoFormatId="16" applyNumberFormats="0" applyBorderFormats="0" applyFontFormats="0" applyPatternFormats="0" applyAlignmentFormats="0" applyWidthHeightFormats="0">
  <queryTableRefresh nextId="41" unboundColumnsRight="3">
    <queryTableFields count="38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7" dataBound="0" tableColumnId="37"/>
      <queryTableField id="38" dataBound="0" tableColumnId="38"/>
      <queryTableField id="40" dataBound="0" tableColumnId="4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ênero_PT_BR" xr10:uid="{B734F6C9-4E8F-4FCB-A8D8-B0BA8D8AA556}" sourceName="Gênero(PT-BR)">
  <pivotTables>
    <pivotTable tabId="6" name="Tabela dinâmica3"/>
    <pivotTable tabId="8" name="Tabela dinâmica11"/>
    <pivotTable tabId="9" name="Tabela dinâmica18"/>
    <pivotTable tabId="7" name="Tabela dinâmica8"/>
    <pivotTable tabId="11" name="Tabela dinâmica26"/>
    <pivotTable tabId="3" name="tbDinamica"/>
    <pivotTable tabId="10" name="Tabela dinâmica23"/>
  </pivotTables>
  <data>
    <tabular pivotCacheId="84773534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mpo_Educacional_PT_BR" xr10:uid="{25D6E544-1A48-4645-A81E-2A1803D0DF51}" sourceName="Campo Educacional(PT-BR)">
  <pivotTables>
    <pivotTable tabId="6" name="Tabela dinâmica3"/>
    <pivotTable tabId="8" name="Tabela dinâmica11"/>
    <pivotTable tabId="9" name="Tabela dinâmica18"/>
    <pivotTable tabId="7" name="Tabela dinâmica8"/>
    <pivotTable tabId="11" name="Tabela dinâmica26"/>
    <pivotTable tabId="3" name="tbDinamica"/>
    <pivotTable tabId="10" name="Tabela dinâmica23"/>
  </pivotTables>
  <data>
    <tabular pivotCacheId="847735344">
      <items count="6">
        <i x="0" s="1"/>
        <i x="4" s="1"/>
        <i x="3" s="1"/>
        <i x="2" s="1"/>
        <i x="1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artamento_PT_BR" xr10:uid="{79D7CB58-5AAD-4A1F-A656-71393EE6D929}" sourceName="Departamento(PT-BR)">
  <pivotTables>
    <pivotTable tabId="9" name="Tabela dinâmica18"/>
    <pivotTable tabId="8" name="Tabela dinâmica11"/>
    <pivotTable tabId="7" name="Tabela dinâmica8"/>
    <pivotTable tabId="11" name="Tabela dinâmica26"/>
    <pivotTable tabId="6" name="Tabela dinâmica3"/>
    <pivotTable tabId="3" name="tbDinamica"/>
    <pivotTable tabId="10" name="Tabela dinâmica23"/>
  </pivotTables>
  <data>
    <tabular pivotCacheId="847735344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ênero(PT-BR)" xr10:uid="{3F346696-2C65-4D1E-820C-284574425C23}" cache="SegmentaçãodeDados_Gênero_PT_BR" caption="Gênero" style="Estilo_genero" lockedPosition="1" rowHeight="241300"/>
  <slicer name="Campo Educacional(PT-BR)" xr10:uid="{9375B175-10CB-4556-A938-BC2E89AB4461}" cache="SegmentaçãodeDados_Campo_Educacional_PT_BR" caption="Campo Educacional" style="Estilo_genero" lockedPosition="1" rowHeight="241300"/>
  <slicer name="Departamento(PT-BR)" xr10:uid="{F0EBCA20-BC5C-473F-8FD4-2F467B712C8A}" cache="SegmentaçãodeDados_Departamento_PT_BR" caption="Departamento" style="Estilo_genero" lockedPosition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AE74E-9C56-441D-BF68-3306F63CDC5E}" name="tbRh" displayName="tbRh" ref="A1:AL1471" tableType="queryTable" totalsRowShown="0">
  <autoFilter ref="A1:AL1471" xr:uid="{25BAE74E-9C56-441D-BF68-3306F63CDC5E}"/>
  <tableColumns count="38">
    <tableColumn id="1" xr3:uid="{96D553F9-ED84-4A19-A44D-C92882D5E5A4}" uniqueName="1" name="Age" queryTableFieldId="1"/>
    <tableColumn id="2" xr3:uid="{9801E19D-9AF8-4C0C-9D30-5ADD1A4E50F0}" uniqueName="2" name="Attrition" queryTableFieldId="2" dataDxfId="11"/>
    <tableColumn id="3" xr3:uid="{39CBF98C-2FD3-4FFC-B473-5727A2FA3199}" uniqueName="3" name="BusinessTravel" queryTableFieldId="3" dataDxfId="10"/>
    <tableColumn id="4" xr3:uid="{94668723-0490-4C14-A63B-C7E992CEE375}" uniqueName="4" name="DailyRate" queryTableFieldId="4"/>
    <tableColumn id="5" xr3:uid="{27F7C769-38AA-446C-A168-AF25B9FE8139}" uniqueName="5" name="Department" queryTableFieldId="5" dataDxfId="9"/>
    <tableColumn id="6" xr3:uid="{B3C01425-3D04-47AE-B674-91D48DE8A7DE}" uniqueName="6" name="DistanceFromHome" queryTableFieldId="6"/>
    <tableColumn id="7" xr3:uid="{B713C569-22A5-41D1-95F6-E6C097D6FC06}" uniqueName="7" name="Education" queryTableFieldId="7"/>
    <tableColumn id="8" xr3:uid="{F6FEB34C-0887-43DB-AB98-A10034E98F35}" uniqueName="8" name="EducationField" queryTableFieldId="8" dataDxfId="8"/>
    <tableColumn id="9" xr3:uid="{948E766E-14AE-47C1-9036-67DA8BB65317}" uniqueName="9" name="EmployeeCount" queryTableFieldId="9"/>
    <tableColumn id="10" xr3:uid="{5FD090CF-E9E5-4688-BDDA-FACECE7DAA8B}" uniqueName="10" name="EmployeeNumber" queryTableFieldId="10"/>
    <tableColumn id="11" xr3:uid="{949A67CA-02B9-4302-9F7A-11B6A7E2BB6F}" uniqueName="11" name="EnvironmentSatisfaction" queryTableFieldId="11"/>
    <tableColumn id="12" xr3:uid="{A8813807-C51C-4862-B75B-D0BD8E1417FF}" uniqueName="12" name="Gender" queryTableFieldId="12" dataDxfId="7"/>
    <tableColumn id="13" xr3:uid="{BB2E1DC3-64E7-4A92-8952-3831B56EAB91}" uniqueName="13" name="HourlyRate" queryTableFieldId="13"/>
    <tableColumn id="14" xr3:uid="{44CAEAAC-2A86-4586-9839-268CE5E28DE0}" uniqueName="14" name="JobInvolvement" queryTableFieldId="14"/>
    <tableColumn id="15" xr3:uid="{E9B8850F-0580-42A8-BFCB-C57ED6C13ACF}" uniqueName="15" name="JobLevel" queryTableFieldId="15"/>
    <tableColumn id="16" xr3:uid="{ACE13FCA-0ADD-4A3E-851D-4A1888A64339}" uniqueName="16" name="JobRole" queryTableFieldId="16" dataDxfId="6"/>
    <tableColumn id="17" xr3:uid="{D83F7DF5-4E41-41DF-9DAC-CCAD1643D7C3}" uniqueName="17" name="JobSatisfaction" queryTableFieldId="17"/>
    <tableColumn id="18" xr3:uid="{D99DCD85-7807-4CB6-87A7-2758351CAFCD}" uniqueName="18" name="MaritalStatus" queryTableFieldId="18" dataDxfId="5"/>
    <tableColumn id="19" xr3:uid="{D65F64BD-5E4D-46E3-A064-C062CB60D393}" uniqueName="19" name="MonthlyIncome" queryTableFieldId="19"/>
    <tableColumn id="20" xr3:uid="{36488D57-74F0-4EA3-B26D-79D8BC729E47}" uniqueName="20" name="MonthlyRate" queryTableFieldId="20"/>
    <tableColumn id="21" xr3:uid="{05E12019-AD3A-4098-A761-C6F25AC43D97}" uniqueName="21" name="NumCompaniesWorked" queryTableFieldId="21"/>
    <tableColumn id="22" xr3:uid="{7BA35E54-1A78-4206-B76D-FCAB25BD3C0A}" uniqueName="22" name="Over18" queryTableFieldId="22" dataDxfId="4"/>
    <tableColumn id="23" xr3:uid="{760A7BF2-AF13-460E-A8DD-55D888918B00}" uniqueName="23" name="OverTime" queryTableFieldId="23" dataDxfId="3"/>
    <tableColumn id="24" xr3:uid="{F6F012A2-13B4-4F6E-9D04-1AEA4B4B4808}" uniqueName="24" name="PercentSalaryHike" queryTableFieldId="24"/>
    <tableColumn id="25" xr3:uid="{BD1DE595-76AA-410A-B515-7658783AADCE}" uniqueName="25" name="PerformanceRating" queryTableFieldId="25"/>
    <tableColumn id="26" xr3:uid="{B69E7185-5B4D-412F-87B4-9CFE8B389DC0}" uniqueName="26" name="RelationshipSatisfaction" queryTableFieldId="26"/>
    <tableColumn id="27" xr3:uid="{3B0F6BFD-0866-442C-8A01-962EBCCC8CC4}" uniqueName="27" name="StandardHours" queryTableFieldId="27"/>
    <tableColumn id="28" xr3:uid="{35814034-D73A-44CF-8483-CB11ADB4BC20}" uniqueName="28" name="StockOptionLevel" queryTableFieldId="28"/>
    <tableColumn id="29" xr3:uid="{C28B5AEB-C7AC-41FB-B55D-28B55DF35D1D}" uniqueName="29" name="TotalWorkingYears" queryTableFieldId="29"/>
    <tableColumn id="30" xr3:uid="{31829450-9A1A-469B-A252-123E843BF424}" uniqueName="30" name="TrainingTimesLastYear" queryTableFieldId="30"/>
    <tableColumn id="31" xr3:uid="{7FC6A267-4DCC-4DDC-B862-22A6BF7AD0DD}" uniqueName="31" name="WorkLifeBalance" queryTableFieldId="31"/>
    <tableColumn id="32" xr3:uid="{75DFEE16-097A-4B76-8DD2-B9D51FF2CA4D}" uniqueName="32" name="YearsAtCompany" queryTableFieldId="32"/>
    <tableColumn id="33" xr3:uid="{76351559-E8C2-4912-89DA-B7093929E0C7}" uniqueName="33" name="YearsInCurrentRole" queryTableFieldId="33"/>
    <tableColumn id="34" xr3:uid="{42B41726-2A75-4407-823F-A7AD7DF9470A}" uniqueName="34" name="YearsSinceLastPromotion" queryTableFieldId="34"/>
    <tableColumn id="35" xr3:uid="{858E62E7-9CF9-455D-97AD-470EB13EEBB2}" uniqueName="35" name="YearsWithCurrManager" queryTableFieldId="35"/>
    <tableColumn id="37" xr3:uid="{BF229636-911D-4ACF-BA68-9ED041381BDC}" uniqueName="37" name="Gênero(PT-BR)" queryTableFieldId="37" dataDxfId="2">
      <calculatedColumnFormula>IF(tbRh[[#This Row],[Gender]]="Female","Feminino","Masculino")</calculatedColumnFormula>
    </tableColumn>
    <tableColumn id="38" xr3:uid="{3590E0A0-CA20-4B12-BAD2-EB2DB62EC217}" uniqueName="38" name="Campo Educacional(PT-BR)" queryTableFieldId="38" dataDxfId="1">
      <calculatedColumnFormula array="1">_xlfn.IFS(H2="Life Sciences", "Ciências da Vida", H2="Other", "Outro", H2="Medical", "Médico", H2="Technical Degree", "Curso Técnico", H2="Marketing", "Marketing", H2="Human Resources", "Recursos Humanos")</calculatedColumnFormula>
    </tableColumn>
    <tableColumn id="40" xr3:uid="{1195EED1-8CFF-4819-8C62-68AB28B33956}" uniqueName="40" name="Departamento(PT-BR)" queryTableFieldId="40" dataDxfId="0">
      <calculatedColumnFormula array="1">_xlfn.IFS(tbRh[[#This Row],[Department]]="Sales","Vendas",tbRh[[#This Row],[Department]]="Research &amp; Development","Pesquisa e Desenvolvimento(P&amp;D)",tbRh[[#This Row],[Department]]="Human Resources","Recursos Humanos(RH)" 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2AA7-7096-4AA3-8F47-53133BDB5699}">
  <dimension ref="A1:A41"/>
  <sheetViews>
    <sheetView tabSelected="1" zoomScaleNormal="100" workbookViewId="0">
      <selection activeCell="C26" sqref="C26"/>
    </sheetView>
  </sheetViews>
  <sheetFormatPr defaultColWidth="23.5703125" defaultRowHeight="15" zeroHeight="1" x14ac:dyDescent="0.25"/>
  <cols>
    <col min="1" max="21" width="9.140625" style="8" customWidth="1"/>
    <col min="22" max="22" width="12.140625" style="8" customWidth="1"/>
    <col min="23" max="23" width="23.5703125" style="8"/>
    <col min="24" max="24" width="16.42578125" style="8" customWidth="1"/>
    <col min="25" max="16384" width="23.5703125" style="8"/>
  </cols>
  <sheetData>
    <row r="1" s="8" customFormat="1" x14ac:dyDescent="0.25"/>
    <row r="2" s="8" customFormat="1" x14ac:dyDescent="0.25"/>
    <row r="3" s="8" customFormat="1" x14ac:dyDescent="0.25"/>
    <row r="4" s="8" customFormat="1" x14ac:dyDescent="0.25"/>
    <row r="5" s="8" customFormat="1" x14ac:dyDescent="0.25"/>
    <row r="6" s="8" customFormat="1" x14ac:dyDescent="0.25"/>
    <row r="7" s="8" customFormat="1" x14ac:dyDescent="0.25"/>
    <row r="8" s="8" customFormat="1" x14ac:dyDescent="0.25"/>
    <row r="9" s="8" customFormat="1" x14ac:dyDescent="0.25"/>
    <row r="10" s="8" customFormat="1" x14ac:dyDescent="0.25"/>
    <row r="11" s="8" customFormat="1" x14ac:dyDescent="0.25"/>
    <row r="12" s="8" customFormat="1" x14ac:dyDescent="0.25"/>
    <row r="13" s="8" customFormat="1" x14ac:dyDescent="0.25"/>
    <row r="14" s="8" customFormat="1" x14ac:dyDescent="0.25"/>
    <row r="15" s="8" customFormat="1" x14ac:dyDescent="0.25"/>
    <row r="16" s="8" customFormat="1" x14ac:dyDescent="0.25"/>
    <row r="17" s="8" customFormat="1" x14ac:dyDescent="0.25"/>
    <row r="18" s="8" customFormat="1" x14ac:dyDescent="0.25"/>
    <row r="19" s="8" customFormat="1" x14ac:dyDescent="0.25"/>
    <row r="20" s="8" customFormat="1" x14ac:dyDescent="0.25"/>
    <row r="21" s="8" customFormat="1" x14ac:dyDescent="0.25"/>
    <row r="22" s="8" customFormat="1" x14ac:dyDescent="0.25"/>
    <row r="23" s="8" customFormat="1" x14ac:dyDescent="0.25"/>
    <row r="24" s="8" customFormat="1" x14ac:dyDescent="0.25"/>
    <row r="25" s="8" customFormat="1" x14ac:dyDescent="0.25"/>
    <row r="26" s="8" customFormat="1" x14ac:dyDescent="0.25"/>
    <row r="27" s="8" customFormat="1" x14ac:dyDescent="0.25"/>
    <row r="28" s="8" customFormat="1" x14ac:dyDescent="0.25"/>
    <row r="29" s="8" customFormat="1" x14ac:dyDescent="0.25"/>
    <row r="30" s="8" customFormat="1" x14ac:dyDescent="0.25"/>
    <row r="31" s="8" customFormat="1" x14ac:dyDescent="0.25"/>
    <row r="32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617C-7CFA-4D59-8923-488725755C1A}">
  <dimension ref="A3:I8"/>
  <sheetViews>
    <sheetView workbookViewId="0">
      <selection activeCell="B5" sqref="B5"/>
    </sheetView>
  </sheetViews>
  <sheetFormatPr defaultRowHeight="15" x14ac:dyDescent="0.25"/>
  <cols>
    <col min="1" max="1" width="30" bestFit="1" customWidth="1"/>
    <col min="2" max="2" width="19.5703125" bestFit="1" customWidth="1"/>
    <col min="3" max="3" width="4.140625" bestFit="1" customWidth="1"/>
    <col min="4" max="4" width="10.7109375" bestFit="1" customWidth="1"/>
    <col min="8" max="8" width="11.140625" bestFit="1" customWidth="1"/>
    <col min="9" max="9" width="10.5703125" customWidth="1"/>
  </cols>
  <sheetData>
    <row r="3" spans="1:9" x14ac:dyDescent="0.25">
      <c r="A3" s="2" t="s">
        <v>62</v>
      </c>
      <c r="B3" s="2" t="s">
        <v>63</v>
      </c>
    </row>
    <row r="4" spans="1:9" x14ac:dyDescent="0.25">
      <c r="A4" s="2" t="s">
        <v>65</v>
      </c>
      <c r="B4" t="s">
        <v>43</v>
      </c>
      <c r="C4" t="s">
        <v>35</v>
      </c>
      <c r="D4" t="s">
        <v>64</v>
      </c>
      <c r="H4" t="s">
        <v>102</v>
      </c>
      <c r="I4" t="s">
        <v>82</v>
      </c>
    </row>
    <row r="5" spans="1:9" x14ac:dyDescent="0.25">
      <c r="A5" s="3" t="s">
        <v>52</v>
      </c>
      <c r="B5" s="1">
        <v>294</v>
      </c>
      <c r="C5" s="1">
        <v>33</v>
      </c>
      <c r="D5" s="1">
        <v>327</v>
      </c>
      <c r="H5" t="s">
        <v>103</v>
      </c>
      <c r="I5">
        <f>GETPIVOTDATA("EmployeeNumber",$A$3,"Attrition","Yes","MaritalStatus","Divorced")</f>
        <v>33</v>
      </c>
    </row>
    <row r="6" spans="1:9" x14ac:dyDescent="0.25">
      <c r="A6" s="3" t="s">
        <v>48</v>
      </c>
      <c r="B6" s="1">
        <v>589</v>
      </c>
      <c r="C6" s="1">
        <v>84</v>
      </c>
      <c r="D6" s="1">
        <v>673</v>
      </c>
      <c r="H6" t="s">
        <v>104</v>
      </c>
      <c r="I6">
        <f>GETPIVOTDATA("EmployeeNumber",$A$3,"Attrition","Yes","MaritalStatus","Married")</f>
        <v>84</v>
      </c>
    </row>
    <row r="7" spans="1:9" x14ac:dyDescent="0.25">
      <c r="A7" s="3" t="s">
        <v>41</v>
      </c>
      <c r="B7" s="1">
        <v>350</v>
      </c>
      <c r="C7" s="1">
        <v>120</v>
      </c>
      <c r="D7" s="1">
        <v>470</v>
      </c>
      <c r="H7" t="s">
        <v>105</v>
      </c>
      <c r="I7">
        <f>GETPIVOTDATA("EmployeeNumber",$A$3,"Attrition","Yes","MaritalStatus","Single")</f>
        <v>120</v>
      </c>
    </row>
    <row r="8" spans="1:9" x14ac:dyDescent="0.25">
      <c r="A8" s="3" t="s">
        <v>64</v>
      </c>
      <c r="B8" s="1">
        <v>1233</v>
      </c>
      <c r="C8" s="1">
        <v>237</v>
      </c>
      <c r="D8" s="1">
        <v>1470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FF8A-AFA4-4B77-AE85-7156AC671B3E}">
  <dimension ref="A3:F15"/>
  <sheetViews>
    <sheetView workbookViewId="0">
      <selection activeCell="B5" sqref="B5"/>
    </sheetView>
  </sheetViews>
  <sheetFormatPr defaultRowHeight="15" x14ac:dyDescent="0.25"/>
  <cols>
    <col min="1" max="1" width="18" bestFit="1" customWidth="1"/>
    <col min="2" max="2" width="30" bestFit="1" customWidth="1"/>
    <col min="3" max="3" width="13.42578125" bestFit="1" customWidth="1"/>
    <col min="4" max="4" width="17.5703125" customWidth="1"/>
    <col min="5" max="5" width="18.28515625" bestFit="1" customWidth="1"/>
    <col min="6" max="6" width="25.85546875" bestFit="1" customWidth="1"/>
  </cols>
  <sheetData>
    <row r="3" spans="1:6" x14ac:dyDescent="0.25">
      <c r="A3" s="2" t="s">
        <v>65</v>
      </c>
      <c r="B3" t="s">
        <v>62</v>
      </c>
      <c r="C3" t="s">
        <v>66</v>
      </c>
    </row>
    <row r="4" spans="1:6" x14ac:dyDescent="0.25">
      <c r="A4" s="3" t="s">
        <v>43</v>
      </c>
      <c r="B4" s="1">
        <v>1233</v>
      </c>
      <c r="C4" s="4">
        <v>37.561232765612324</v>
      </c>
    </row>
    <row r="5" spans="1:6" x14ac:dyDescent="0.25">
      <c r="A5" s="3" t="s">
        <v>35</v>
      </c>
      <c r="B5" s="1">
        <v>237</v>
      </c>
      <c r="C5" s="4">
        <v>33.607594936708864</v>
      </c>
    </row>
    <row r="6" spans="1:6" x14ac:dyDescent="0.25">
      <c r="A6" s="3" t="s">
        <v>64</v>
      </c>
      <c r="B6" s="1">
        <v>1470</v>
      </c>
      <c r="C6" s="4">
        <v>36.923809523809524</v>
      </c>
    </row>
    <row r="14" spans="1:6" x14ac:dyDescent="0.25"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25">
      <c r="B15">
        <f>GETPIVOTDATA("Contagem de EmployeeNumber",$A$3)</f>
        <v>1470</v>
      </c>
      <c r="C15" s="6">
        <f>GETPIVOTDATA("Média de Age",$A$3)</f>
        <v>36.923809523809524</v>
      </c>
      <c r="D15">
        <f>GETPIVOTDATA("Contagem de EmployeeNumber",$A$3,"Attrition","Yes")</f>
        <v>237</v>
      </c>
      <c r="E15">
        <f>B15-D15</f>
        <v>1233</v>
      </c>
      <c r="F15" s="5">
        <f>D15/B15</f>
        <v>0.16122448979591836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239B-62C0-4DFD-86FE-CACA2A578EC0}">
  <dimension ref="A3:C10"/>
  <sheetViews>
    <sheetView workbookViewId="0">
      <selection activeCell="B5" sqref="B5"/>
    </sheetView>
  </sheetViews>
  <sheetFormatPr defaultRowHeight="15" x14ac:dyDescent="0.25"/>
  <cols>
    <col min="1" max="1" width="18" bestFit="1" customWidth="1"/>
    <col min="2" max="2" width="27.85546875" bestFit="1" customWidth="1"/>
    <col min="3" max="3" width="23.5703125" bestFit="1" customWidth="1"/>
  </cols>
  <sheetData>
    <row r="3" spans="1:3" x14ac:dyDescent="0.25">
      <c r="A3" s="2" t="s">
        <v>65</v>
      </c>
      <c r="B3" t="s">
        <v>73</v>
      </c>
    </row>
    <row r="4" spans="1:3" x14ac:dyDescent="0.25">
      <c r="A4" s="3" t="s">
        <v>39</v>
      </c>
      <c r="B4" s="1">
        <v>588</v>
      </c>
    </row>
    <row r="5" spans="1:3" x14ac:dyDescent="0.25">
      <c r="A5" s="3" t="s">
        <v>46</v>
      </c>
      <c r="B5" s="1">
        <v>882</v>
      </c>
    </row>
    <row r="6" spans="1:3" x14ac:dyDescent="0.25">
      <c r="A6" s="3" t="s">
        <v>64</v>
      </c>
      <c r="B6" s="1">
        <v>1470</v>
      </c>
    </row>
    <row r="9" spans="1:3" x14ac:dyDescent="0.25">
      <c r="A9" s="3" t="s">
        <v>74</v>
      </c>
      <c r="B9">
        <f>IFERROR(GETPIVOTDATA("EmployeeCount",$A$3,"Gender","Female"),0)</f>
        <v>588</v>
      </c>
      <c r="C9" s="7">
        <f>IFERROR(B9/(B9+B10),0)</f>
        <v>0.4</v>
      </c>
    </row>
    <row r="10" spans="1:3" x14ac:dyDescent="0.25">
      <c r="A10" s="3" t="s">
        <v>75</v>
      </c>
      <c r="B10">
        <f>IFERROR(GETPIVOTDATA("EmployeeCount",$A$3,"Gender","Male"),0)</f>
        <v>882</v>
      </c>
      <c r="C10" s="7">
        <f>IFERROR(B10/(B9+B10),0)</f>
        <v>0.6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E4FB-7737-4AFA-8A92-B9226D92B159}">
  <dimension ref="A3:H13"/>
  <sheetViews>
    <sheetView workbookViewId="0">
      <selection activeCell="F26" sqref="F26"/>
    </sheetView>
  </sheetViews>
  <sheetFormatPr defaultRowHeight="15" x14ac:dyDescent="0.25"/>
  <cols>
    <col min="1" max="1" width="30" bestFit="1" customWidth="1"/>
    <col min="2" max="2" width="19.5703125" bestFit="1" customWidth="1"/>
    <col min="3" max="3" width="4.140625" bestFit="1" customWidth="1"/>
    <col min="4" max="4" width="10.7109375" bestFit="1" customWidth="1"/>
    <col min="5" max="5" width="10" bestFit="1" customWidth="1"/>
    <col min="6" max="6" width="11.85546875" bestFit="1" customWidth="1"/>
    <col min="7" max="7" width="10.7109375" bestFit="1" customWidth="1"/>
    <col min="8" max="8" width="10.42578125" bestFit="1" customWidth="1"/>
  </cols>
  <sheetData>
    <row r="3" spans="1:8" x14ac:dyDescent="0.25">
      <c r="A3" s="2" t="s">
        <v>62</v>
      </c>
      <c r="B3" s="2" t="s">
        <v>63</v>
      </c>
    </row>
    <row r="4" spans="1:8" x14ac:dyDescent="0.25">
      <c r="A4" s="2" t="s">
        <v>65</v>
      </c>
      <c r="B4" t="s">
        <v>43</v>
      </c>
      <c r="C4" t="s">
        <v>35</v>
      </c>
      <c r="D4" t="s">
        <v>64</v>
      </c>
    </row>
    <row r="5" spans="1:8" x14ac:dyDescent="0.25">
      <c r="A5" s="3">
        <v>1</v>
      </c>
      <c r="B5" s="1">
        <v>139</v>
      </c>
      <c r="C5" s="1">
        <v>31</v>
      </c>
      <c r="D5" s="1">
        <v>170</v>
      </c>
    </row>
    <row r="6" spans="1:8" x14ac:dyDescent="0.25">
      <c r="A6" s="3">
        <v>2</v>
      </c>
      <c r="B6" s="1">
        <v>238</v>
      </c>
      <c r="C6" s="1">
        <v>44</v>
      </c>
      <c r="D6" s="1">
        <v>282</v>
      </c>
    </row>
    <row r="7" spans="1:8" x14ac:dyDescent="0.25">
      <c r="A7" s="3">
        <v>3</v>
      </c>
      <c r="B7" s="1">
        <v>473</v>
      </c>
      <c r="C7" s="1">
        <v>99</v>
      </c>
      <c r="D7" s="1">
        <v>572</v>
      </c>
    </row>
    <row r="8" spans="1:8" x14ac:dyDescent="0.25">
      <c r="A8" s="3">
        <v>4</v>
      </c>
      <c r="B8" s="1">
        <v>340</v>
      </c>
      <c r="C8" s="1">
        <v>58</v>
      </c>
      <c r="D8" s="1">
        <v>398</v>
      </c>
    </row>
    <row r="9" spans="1:8" x14ac:dyDescent="0.25">
      <c r="A9" s="3">
        <v>5</v>
      </c>
      <c r="B9" s="1">
        <v>43</v>
      </c>
      <c r="C9" s="1">
        <v>5</v>
      </c>
      <c r="D9" s="1">
        <v>48</v>
      </c>
    </row>
    <row r="10" spans="1:8" x14ac:dyDescent="0.25">
      <c r="A10" s="3" t="s">
        <v>64</v>
      </c>
      <c r="B10" s="1">
        <v>1233</v>
      </c>
      <c r="C10" s="1">
        <v>237</v>
      </c>
      <c r="D10" s="1">
        <v>1470</v>
      </c>
    </row>
    <row r="12" spans="1:8" x14ac:dyDescent="0.25">
      <c r="D12" t="s">
        <v>76</v>
      </c>
      <c r="E12" t="s">
        <v>77</v>
      </c>
      <c r="F12" t="s">
        <v>80</v>
      </c>
      <c r="G12" t="s">
        <v>78</v>
      </c>
      <c r="H12" t="s">
        <v>79</v>
      </c>
    </row>
    <row r="13" spans="1:8" x14ac:dyDescent="0.25">
      <c r="D13">
        <f>GETPIVOTDATA("EmployeeNumber",$A$3,"Attrition","Yes","Education",1)</f>
        <v>31</v>
      </c>
      <c r="E13">
        <f>GETPIVOTDATA("EmployeeNumber",$A$3,"Attrition","Yes","Education",2)</f>
        <v>44</v>
      </c>
      <c r="F13">
        <f>GETPIVOTDATA("EmployeeNumber",$A$3,"Attrition","Yes","Education",3)</f>
        <v>99</v>
      </c>
      <c r="G13">
        <f>GETPIVOTDATA("EmployeeNumber",$A$3,"Attrition","Yes","Education",4)</f>
        <v>58</v>
      </c>
      <c r="H13">
        <f>GETPIVOTDATA("EmployeeNumber",$A$3,"Attrition","Yes","Education",5)</f>
        <v>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08D9-F8F3-4B11-9520-93E69848C209}">
  <dimension ref="A3:I14"/>
  <sheetViews>
    <sheetView workbookViewId="0">
      <selection activeCell="A38" sqref="A38"/>
    </sheetView>
  </sheetViews>
  <sheetFormatPr defaultRowHeight="15" x14ac:dyDescent="0.25"/>
  <cols>
    <col min="1" max="1" width="30" bestFit="1" customWidth="1"/>
    <col min="2" max="2" width="19.5703125" bestFit="1" customWidth="1"/>
    <col min="3" max="3" width="4.140625" bestFit="1" customWidth="1"/>
    <col min="4" max="4" width="10.7109375" bestFit="1" customWidth="1"/>
    <col min="5" max="5" width="24.42578125" bestFit="1" customWidth="1"/>
    <col min="6" max="6" width="35" bestFit="1" customWidth="1"/>
    <col min="7" max="7" width="29.42578125" bestFit="1" customWidth="1"/>
    <col min="8" max="8" width="38" bestFit="1" customWidth="1"/>
    <col min="9" max="9" width="12.7109375" customWidth="1"/>
  </cols>
  <sheetData>
    <row r="3" spans="1:9" x14ac:dyDescent="0.25">
      <c r="A3" s="2" t="s">
        <v>62</v>
      </c>
      <c r="B3" s="2" t="s">
        <v>63</v>
      </c>
      <c r="H3" t="s">
        <v>81</v>
      </c>
      <c r="I3" t="s">
        <v>82</v>
      </c>
    </row>
    <row r="4" spans="1:9" x14ac:dyDescent="0.25">
      <c r="A4" s="2" t="s">
        <v>65</v>
      </c>
      <c r="B4" t="s">
        <v>43</v>
      </c>
      <c r="C4" t="s">
        <v>35</v>
      </c>
      <c r="D4" t="s">
        <v>64</v>
      </c>
      <c r="H4" t="s">
        <v>84</v>
      </c>
      <c r="I4">
        <f>GETPIVOTDATA("EmployeeNumber",$A$3,"Attrition","Yes","JobRole","Laboratory Technician")</f>
        <v>62</v>
      </c>
    </row>
    <row r="5" spans="1:9" x14ac:dyDescent="0.25">
      <c r="A5" s="3" t="s">
        <v>54</v>
      </c>
      <c r="B5" s="1">
        <v>122</v>
      </c>
      <c r="C5" s="1">
        <v>9</v>
      </c>
      <c r="D5" s="1">
        <v>131</v>
      </c>
      <c r="H5" t="s">
        <v>87</v>
      </c>
      <c r="I5">
        <f>GETPIVOTDATA("EmployeeNumber",$A$3,"Attrition","Yes","JobRole","Sales Executive")</f>
        <v>57</v>
      </c>
    </row>
    <row r="6" spans="1:9" x14ac:dyDescent="0.25">
      <c r="A6" s="3" t="s">
        <v>61</v>
      </c>
      <c r="B6" s="1">
        <v>40</v>
      </c>
      <c r="C6" s="1">
        <v>12</v>
      </c>
      <c r="D6" s="1">
        <v>52</v>
      </c>
      <c r="H6" t="s">
        <v>91</v>
      </c>
      <c r="I6">
        <f>GETPIVOTDATA("EmployeeNumber",$A$3,"Attrition","Yes","JobRole","Research Scientist")</f>
        <v>47</v>
      </c>
    </row>
    <row r="7" spans="1:9" x14ac:dyDescent="0.25">
      <c r="A7" s="3" t="s">
        <v>50</v>
      </c>
      <c r="B7" s="1">
        <v>197</v>
      </c>
      <c r="C7" s="1">
        <v>62</v>
      </c>
      <c r="D7" s="1">
        <v>259</v>
      </c>
      <c r="H7" t="s">
        <v>88</v>
      </c>
      <c r="I7">
        <f>GETPIVOTDATA("EmployeeNumber",$A$3,"Attrition","Yes","JobRole","Sales Representative")</f>
        <v>33</v>
      </c>
    </row>
    <row r="8" spans="1:9" x14ac:dyDescent="0.25">
      <c r="A8" s="3" t="s">
        <v>56</v>
      </c>
      <c r="B8" s="1">
        <v>97</v>
      </c>
      <c r="C8" s="1">
        <v>5</v>
      </c>
      <c r="D8" s="1">
        <v>102</v>
      </c>
      <c r="H8" t="s">
        <v>83</v>
      </c>
      <c r="I8">
        <f>GETPIVOTDATA("EmployeeNumber",$A$3,"Attrition","Yes","JobRole","Human Resources")</f>
        <v>12</v>
      </c>
    </row>
    <row r="9" spans="1:9" x14ac:dyDescent="0.25">
      <c r="A9" s="3" t="s">
        <v>53</v>
      </c>
      <c r="B9" s="1">
        <v>135</v>
      </c>
      <c r="C9" s="1">
        <v>10</v>
      </c>
      <c r="D9" s="1">
        <v>145</v>
      </c>
      <c r="H9" t="s">
        <v>90</v>
      </c>
      <c r="I9">
        <f>GETPIVOTDATA("EmployeeNumber",$A$3,"Attrition","Yes","JobRole","Manufacturing Director")</f>
        <v>10</v>
      </c>
    </row>
    <row r="10" spans="1:9" x14ac:dyDescent="0.25">
      <c r="A10" s="3" t="s">
        <v>58</v>
      </c>
      <c r="B10" s="1">
        <v>78</v>
      </c>
      <c r="C10" s="1">
        <v>2</v>
      </c>
      <c r="D10" s="1">
        <v>80</v>
      </c>
      <c r="H10" t="s">
        <v>89</v>
      </c>
      <c r="I10">
        <f>GETPIVOTDATA("EmployeeNumber",$A$3,"Attrition","Yes","JobRole","Healthcare Representative")</f>
        <v>9</v>
      </c>
    </row>
    <row r="11" spans="1:9" x14ac:dyDescent="0.25">
      <c r="A11" s="3" t="s">
        <v>47</v>
      </c>
      <c r="B11" s="1">
        <v>245</v>
      </c>
      <c r="C11" s="1">
        <v>47</v>
      </c>
      <c r="D11" s="1">
        <v>292</v>
      </c>
      <c r="H11" t="s">
        <v>85</v>
      </c>
      <c r="I11">
        <f>GETPIVOTDATA("EmployeeNumber",$A$3,"Attrition","Yes","JobRole","Manager")</f>
        <v>5</v>
      </c>
    </row>
    <row r="12" spans="1:9" x14ac:dyDescent="0.25">
      <c r="A12" s="3" t="s">
        <v>40</v>
      </c>
      <c r="B12" s="1">
        <v>269</v>
      </c>
      <c r="C12" s="1">
        <v>57</v>
      </c>
      <c r="D12" s="1">
        <v>326</v>
      </c>
      <c r="H12" t="s">
        <v>86</v>
      </c>
      <c r="I12">
        <f>GETPIVOTDATA("EmployeeNumber",$A$3,"Attrition","Yes","JobRole","Research Director")</f>
        <v>2</v>
      </c>
    </row>
    <row r="13" spans="1:9" x14ac:dyDescent="0.25">
      <c r="A13" s="3" t="s">
        <v>57</v>
      </c>
      <c r="B13" s="1">
        <v>50</v>
      </c>
      <c r="C13" s="1">
        <v>33</v>
      </c>
      <c r="D13" s="1">
        <v>83</v>
      </c>
    </row>
    <row r="14" spans="1:9" x14ac:dyDescent="0.25">
      <c r="A14" s="3" t="s">
        <v>64</v>
      </c>
      <c r="B14" s="1">
        <v>1233</v>
      </c>
      <c r="C14" s="1">
        <v>237</v>
      </c>
      <c r="D14" s="1">
        <v>1470</v>
      </c>
    </row>
  </sheetData>
  <sortState xmlns:xlrd2="http://schemas.microsoft.com/office/spreadsheetml/2017/richdata2" ref="H4:I12">
    <sortCondition descending="1" ref="I4:I12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B48A-F4A3-4367-B693-000B2ADC111B}">
  <dimension ref="A3:K8"/>
  <sheetViews>
    <sheetView workbookViewId="0">
      <selection activeCell="B5" sqref="B5"/>
    </sheetView>
  </sheetViews>
  <sheetFormatPr defaultRowHeight="15" x14ac:dyDescent="0.25"/>
  <cols>
    <col min="1" max="1" width="30" bestFit="1" customWidth="1"/>
    <col min="2" max="2" width="19.5703125" bestFit="1" customWidth="1"/>
    <col min="3" max="3" width="8.140625" bestFit="1" customWidth="1"/>
    <col min="4" max="4" width="10.7109375" bestFit="1" customWidth="1"/>
    <col min="10" max="10" width="33" bestFit="1" customWidth="1"/>
    <col min="11" max="11" width="10.5703125" bestFit="1" customWidth="1"/>
  </cols>
  <sheetData>
    <row r="3" spans="1:11" x14ac:dyDescent="0.25">
      <c r="A3" s="2" t="s">
        <v>62</v>
      </c>
      <c r="B3" s="2" t="s">
        <v>63</v>
      </c>
      <c r="J3" t="s">
        <v>94</v>
      </c>
      <c r="K3" t="s">
        <v>82</v>
      </c>
    </row>
    <row r="4" spans="1:11" x14ac:dyDescent="0.25">
      <c r="A4" s="2" t="s">
        <v>65</v>
      </c>
      <c r="B4" t="s">
        <v>43</v>
      </c>
      <c r="C4" t="s">
        <v>35</v>
      </c>
      <c r="D4" t="s">
        <v>64</v>
      </c>
      <c r="J4" t="s">
        <v>83</v>
      </c>
      <c r="K4" s="5">
        <f>GETPIVOTDATA("EmployeeNumber",$A$3,"Attrition","Yes","Department","Human Resources")</f>
        <v>5.0632911392405063E-2</v>
      </c>
    </row>
    <row r="5" spans="1:11" x14ac:dyDescent="0.25">
      <c r="A5" s="3" t="s">
        <v>61</v>
      </c>
      <c r="B5" s="5">
        <v>4.1362530413625302E-2</v>
      </c>
      <c r="C5" s="5">
        <v>5.0632911392405063E-2</v>
      </c>
      <c r="D5" s="5">
        <v>4.2857142857142858E-2</v>
      </c>
      <c r="J5" t="s">
        <v>92</v>
      </c>
      <c r="K5" s="5">
        <f>GETPIVOTDATA("EmployeeNumber",$A$3,"Attrition","Yes","Department","Research &amp; Development")</f>
        <v>0.56118143459915615</v>
      </c>
    </row>
    <row r="6" spans="1:11" x14ac:dyDescent="0.25">
      <c r="A6" s="3" t="s">
        <v>45</v>
      </c>
      <c r="B6" s="5">
        <v>0.67153284671532842</v>
      </c>
      <c r="C6" s="5">
        <v>0.56118143459915615</v>
      </c>
      <c r="D6" s="5">
        <v>0.65374149659863945</v>
      </c>
      <c r="J6" t="s">
        <v>93</v>
      </c>
      <c r="K6" s="5">
        <f>GETPIVOTDATA("EmployeeNumber",$A$3,"Attrition","Yes","Department","Sales")</f>
        <v>0.3881856540084388</v>
      </c>
    </row>
    <row r="7" spans="1:11" x14ac:dyDescent="0.25">
      <c r="A7" s="3" t="s">
        <v>37</v>
      </c>
      <c r="B7" s="5">
        <v>0.28710462287104621</v>
      </c>
      <c r="C7" s="5">
        <v>0.3881856540084388</v>
      </c>
      <c r="D7" s="5">
        <v>0.30340136054421768</v>
      </c>
    </row>
    <row r="8" spans="1:11" x14ac:dyDescent="0.25">
      <c r="A8" s="3" t="s">
        <v>64</v>
      </c>
      <c r="B8" s="5">
        <v>1</v>
      </c>
      <c r="C8" s="5">
        <v>1</v>
      </c>
      <c r="D8" s="5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E59E-E859-447C-8D5A-6D153D5BF058}">
  <dimension ref="A3:I10"/>
  <sheetViews>
    <sheetView workbookViewId="0">
      <selection activeCell="K9" sqref="K9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4.140625" bestFit="1" customWidth="1"/>
    <col min="4" max="4" width="10.7109375" bestFit="1" customWidth="1"/>
    <col min="8" max="8" width="13.28515625" bestFit="1" customWidth="1"/>
    <col min="9" max="9" width="10.5703125" bestFit="1" customWidth="1"/>
  </cols>
  <sheetData>
    <row r="3" spans="1:9" x14ac:dyDescent="0.25">
      <c r="A3" s="2" t="s">
        <v>72</v>
      </c>
      <c r="B3" s="2" t="s">
        <v>63</v>
      </c>
    </row>
    <row r="4" spans="1:9" x14ac:dyDescent="0.25">
      <c r="A4" s="2" t="s">
        <v>65</v>
      </c>
      <c r="B4" t="s">
        <v>43</v>
      </c>
      <c r="C4" t="s">
        <v>35</v>
      </c>
      <c r="D4" t="s">
        <v>64</v>
      </c>
      <c r="H4" t="s">
        <v>100</v>
      </c>
      <c r="I4" t="s">
        <v>82</v>
      </c>
    </row>
    <row r="5" spans="1:9" x14ac:dyDescent="0.25">
      <c r="A5" s="3" t="s">
        <v>95</v>
      </c>
      <c r="B5" s="1">
        <v>59</v>
      </c>
      <c r="C5" s="1">
        <v>38</v>
      </c>
      <c r="D5" s="1">
        <v>97</v>
      </c>
      <c r="H5" s="3" t="s">
        <v>101</v>
      </c>
      <c r="I5">
        <f>GETPIVOTDATA("Age",$A$3,"Age","&lt;","Attrition","Yes")</f>
        <v>38</v>
      </c>
    </row>
    <row r="6" spans="1:9" x14ac:dyDescent="0.25">
      <c r="A6" s="3" t="s">
        <v>96</v>
      </c>
      <c r="B6" s="1">
        <v>442</v>
      </c>
      <c r="C6" s="1">
        <v>112</v>
      </c>
      <c r="D6" s="1">
        <v>554</v>
      </c>
      <c r="H6" s="3" t="s">
        <v>96</v>
      </c>
      <c r="I6">
        <f>GETPIVOTDATA("Age",$A$3,"Age",25,"Attrition","Yes")</f>
        <v>112</v>
      </c>
    </row>
    <row r="7" spans="1:9" x14ac:dyDescent="0.25">
      <c r="A7" s="3" t="s">
        <v>97</v>
      </c>
      <c r="B7" s="1">
        <v>454</v>
      </c>
      <c r="C7" s="1">
        <v>51</v>
      </c>
      <c r="D7" s="1">
        <v>505</v>
      </c>
      <c r="H7" s="3" t="s">
        <v>97</v>
      </c>
      <c r="I7">
        <f>GETPIVOTDATA("Age",$A$3,"Age",35)</f>
        <v>505</v>
      </c>
    </row>
    <row r="8" spans="1:9" x14ac:dyDescent="0.25">
      <c r="A8" s="3" t="s">
        <v>98</v>
      </c>
      <c r="B8" s="1">
        <v>220</v>
      </c>
      <c r="C8" s="1">
        <v>25</v>
      </c>
      <c r="D8" s="1">
        <v>245</v>
      </c>
      <c r="H8" s="3" t="s">
        <v>98</v>
      </c>
      <c r="I8">
        <f>GETPIVOTDATA("Age",$A$3,"Age",45,"Attrition","Yes")</f>
        <v>25</v>
      </c>
    </row>
    <row r="9" spans="1:9" x14ac:dyDescent="0.25">
      <c r="A9" s="3" t="s">
        <v>99</v>
      </c>
      <c r="B9" s="1">
        <v>58</v>
      </c>
      <c r="C9" s="1">
        <v>11</v>
      </c>
      <c r="D9" s="1">
        <v>69</v>
      </c>
      <c r="H9" s="3" t="s">
        <v>99</v>
      </c>
      <c r="I9">
        <f>GETPIVOTDATA("Age",$A$3,"Age",55,"Attrition","Yes")</f>
        <v>11</v>
      </c>
    </row>
    <row r="10" spans="1:9" x14ac:dyDescent="0.25">
      <c r="A10" s="3" t="s">
        <v>64</v>
      </c>
      <c r="B10" s="1">
        <v>1233</v>
      </c>
      <c r="C10" s="1">
        <v>237</v>
      </c>
      <c r="D10" s="1">
        <v>1470</v>
      </c>
    </row>
  </sheetData>
  <sortState xmlns:xlrd2="http://schemas.microsoft.com/office/spreadsheetml/2017/richdata2" ref="H5:I9">
    <sortCondition ref="I5:I9" customList="38,112,505,25,11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6B3B-729D-4692-BD7A-ED3C2E551E7A}">
  <dimension ref="A1:AL1471"/>
  <sheetViews>
    <sheetView workbookViewId="0">
      <selection activeCell="T2" sqref="T2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19" width="17.5703125" bestFit="1" customWidth="1"/>
    <col min="20" max="20" width="14.85546875" bestFit="1" customWidth="1"/>
    <col min="21" max="21" width="2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42578125" bestFit="1" customWidth="1"/>
    <col min="30" max="30" width="23.42578125" bestFit="1" customWidth="1"/>
    <col min="31" max="31" width="18.42578125" bestFit="1" customWidth="1"/>
    <col min="32" max="32" width="18.5703125" bestFit="1" customWidth="1"/>
    <col min="33" max="33" width="20.85546875" bestFit="1" customWidth="1"/>
    <col min="34" max="34" width="26.140625" bestFit="1" customWidth="1"/>
    <col min="35" max="35" width="24.5703125" bestFit="1" customWidth="1"/>
    <col min="36" max="36" width="16.7109375" bestFit="1" customWidth="1"/>
    <col min="37" max="37" width="24.42578125" bestFit="1" customWidth="1"/>
    <col min="38" max="38" width="32.5703125" bestFit="1" customWidth="1"/>
    <col min="39" max="39" width="5.1406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106</v>
      </c>
      <c r="AK1" t="s">
        <v>107</v>
      </c>
      <c r="AL1" t="s">
        <v>108</v>
      </c>
    </row>
    <row r="2" spans="1:38" x14ac:dyDescent="0.25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IF(tbRh[[#This Row],[Gender]]="Female","Feminino","Masculino")</f>
        <v>Feminino</v>
      </c>
      <c r="AK2" t="str" cm="1">
        <f t="array" ref="AK2">_xlfn.IFS(H2="Life Sciences", "Ciências da Vida", H2="Other", "Outro", H2="Medical", "Médico", H2="Technical Degree", "Curso Técnico", H2="Marketing", "Marketing", H2="Human Resources", "Recursos Humanos")</f>
        <v>Ciências da Vida</v>
      </c>
      <c r="AL2" t="str" cm="1">
        <f t="array" ref="AL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" spans="1:38" x14ac:dyDescent="0.25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IF(tbRh[[#This Row],[Gender]]="Female","Feminino","Masculino")</f>
        <v>Masculino</v>
      </c>
      <c r="AK3" t="str" cm="1">
        <f t="array" ref="AK3">_xlfn.IFS(H3="Life Sciences", "Ciências da Vida", H3="Other", "Outro", H3="Medical", "Médico", H3="Technical Degree", "Curso Técnico", H3="Marketing", "Marketing", H3="Human Resources", "Recursos Humanos")</f>
        <v>Ciências da Vida</v>
      </c>
      <c r="AL3" t="str" cm="1">
        <f t="array" ref="AL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" spans="1:38" x14ac:dyDescent="0.25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IF(tbRh[[#This Row],[Gender]]="Female","Feminino","Masculino")</f>
        <v>Masculino</v>
      </c>
      <c r="AK4" t="str" cm="1">
        <f t="array" ref="AK4">_xlfn.IFS(H4="Life Sciences", "Ciências da Vida", H4="Other", "Outro", H4="Medical", "Médico", H4="Technical Degree", "Curso Técnico", H4="Marketing", "Marketing", H4="Human Resources", "Recursos Humanos")</f>
        <v>Outro</v>
      </c>
      <c r="AL4" t="str" cm="1">
        <f t="array" ref="AL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" spans="1:38" x14ac:dyDescent="0.25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IF(tbRh[[#This Row],[Gender]]="Female","Feminino","Masculino")</f>
        <v>Feminino</v>
      </c>
      <c r="AK5" t="str" cm="1">
        <f t="array" ref="AK5">_xlfn.IFS(H5="Life Sciences", "Ciências da Vida", H5="Other", "Outro", H5="Medical", "Médico", H5="Technical Degree", "Curso Técnico", H5="Marketing", "Marketing", H5="Human Resources", "Recursos Humanos")</f>
        <v>Ciências da Vida</v>
      </c>
      <c r="AL5" t="str" cm="1">
        <f t="array" ref="AL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" spans="1:38" x14ac:dyDescent="0.25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IF(tbRh[[#This Row],[Gender]]="Female","Feminino","Masculino")</f>
        <v>Masculino</v>
      </c>
      <c r="AK6" t="str" cm="1">
        <f t="array" ref="AK6">_xlfn.IFS(H6="Life Sciences", "Ciências da Vida", H6="Other", "Outro", H6="Medical", "Médico", H6="Technical Degree", "Curso Técnico", H6="Marketing", "Marketing", H6="Human Resources", "Recursos Humanos")</f>
        <v>Médico</v>
      </c>
      <c r="AL6" t="str" cm="1">
        <f t="array" ref="AL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" spans="1:38" x14ac:dyDescent="0.25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IF(tbRh[[#This Row],[Gender]]="Female","Feminino","Masculino")</f>
        <v>Masculino</v>
      </c>
      <c r="AK7" t="str" cm="1">
        <f t="array" ref="AK7">_xlfn.IFS(H7="Life Sciences", "Ciências da Vida", H7="Other", "Outro", H7="Medical", "Médico", H7="Technical Degree", "Curso Técnico", H7="Marketing", "Marketing", H7="Human Resources", "Recursos Humanos")</f>
        <v>Ciências da Vida</v>
      </c>
      <c r="AL7" t="str" cm="1">
        <f t="array" ref="AL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" spans="1:38" x14ac:dyDescent="0.25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IF(tbRh[[#This Row],[Gender]]="Female","Feminino","Masculino")</f>
        <v>Feminino</v>
      </c>
      <c r="AK8" t="str" cm="1">
        <f t="array" ref="AK8">_xlfn.IFS(H8="Life Sciences", "Ciências da Vida", H8="Other", "Outro", H8="Medical", "Médico", H8="Technical Degree", "Curso Técnico", H8="Marketing", "Marketing", H8="Human Resources", "Recursos Humanos")</f>
        <v>Médico</v>
      </c>
      <c r="AL8" t="str" cm="1">
        <f t="array" ref="AL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" spans="1:38" x14ac:dyDescent="0.25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IF(tbRh[[#This Row],[Gender]]="Female","Feminino","Masculino")</f>
        <v>Masculino</v>
      </c>
      <c r="AK9" t="str" cm="1">
        <f t="array" ref="AK9">_xlfn.IFS(H9="Life Sciences", "Ciências da Vida", H9="Other", "Outro", H9="Medical", "Médico", H9="Technical Degree", "Curso Técnico", H9="Marketing", "Marketing", H9="Human Resources", "Recursos Humanos")</f>
        <v>Ciências da Vida</v>
      </c>
      <c r="AL9" t="str" cm="1">
        <f t="array" ref="AL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" spans="1:38" x14ac:dyDescent="0.25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IF(tbRh[[#This Row],[Gender]]="Female","Feminino","Masculino")</f>
        <v>Masculino</v>
      </c>
      <c r="AK10" t="str" cm="1">
        <f t="array" ref="AK10">_xlfn.IFS(H10="Life Sciences", "Ciências da Vida", H10="Other", "Outro", H10="Medical", "Médico", H10="Technical Degree", "Curso Técnico", H10="Marketing", "Marketing", H10="Human Resources", "Recursos Humanos")</f>
        <v>Ciências da Vida</v>
      </c>
      <c r="AL10" t="str" cm="1">
        <f t="array" ref="AL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" spans="1:38" x14ac:dyDescent="0.25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IF(tbRh[[#This Row],[Gender]]="Female","Feminino","Masculino")</f>
        <v>Masculino</v>
      </c>
      <c r="AK11" t="str" cm="1">
        <f t="array" ref="AK11">_xlfn.IFS(H11="Life Sciences", "Ciências da Vida", H11="Other", "Outro", H11="Medical", "Médico", H11="Technical Degree", "Curso Técnico", H11="Marketing", "Marketing", H11="Human Resources", "Recursos Humanos")</f>
        <v>Médico</v>
      </c>
      <c r="AL11" t="str" cm="1">
        <f t="array" ref="AL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" spans="1:38" x14ac:dyDescent="0.25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IF(tbRh[[#This Row],[Gender]]="Female","Feminino","Masculino")</f>
        <v>Masculino</v>
      </c>
      <c r="AK12" t="str" cm="1">
        <f t="array" ref="AK12">_xlfn.IFS(H12="Life Sciences", "Ciências da Vida", H12="Other", "Outro", H12="Medical", "Médico", H12="Technical Degree", "Curso Técnico", H12="Marketing", "Marketing", H12="Human Resources", "Recursos Humanos")</f>
        <v>Médico</v>
      </c>
      <c r="AL12" t="str" cm="1">
        <f t="array" ref="AL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" spans="1:38" x14ac:dyDescent="0.25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IF(tbRh[[#This Row],[Gender]]="Female","Feminino","Masculino")</f>
        <v>Feminino</v>
      </c>
      <c r="AK13" t="str" cm="1">
        <f t="array" ref="AK13">_xlfn.IFS(H13="Life Sciences", "Ciências da Vida", H13="Other", "Outro", H13="Medical", "Médico", H13="Technical Degree", "Curso Técnico", H13="Marketing", "Marketing", H13="Human Resources", "Recursos Humanos")</f>
        <v>Ciências da Vida</v>
      </c>
      <c r="AL13" t="str" cm="1">
        <f t="array" ref="AL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" spans="1:38" x14ac:dyDescent="0.25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IF(tbRh[[#This Row],[Gender]]="Female","Feminino","Masculino")</f>
        <v>Masculino</v>
      </c>
      <c r="AK14" t="str" cm="1">
        <f t="array" ref="AK14">_xlfn.IFS(H14="Life Sciences", "Ciências da Vida", H14="Other", "Outro", H14="Medical", "Médico", H14="Technical Degree", "Curso Técnico", H14="Marketing", "Marketing", H14="Human Resources", "Recursos Humanos")</f>
        <v>Ciências da Vida</v>
      </c>
      <c r="AL14" t="str" cm="1">
        <f t="array" ref="AL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" spans="1:38" x14ac:dyDescent="0.25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IF(tbRh[[#This Row],[Gender]]="Female","Feminino","Masculino")</f>
        <v>Masculino</v>
      </c>
      <c r="AK15" t="str" cm="1">
        <f t="array" ref="AK15">_xlfn.IFS(H15="Life Sciences", "Ciências da Vida", H15="Other", "Outro", H15="Medical", "Médico", H15="Technical Degree", "Curso Técnico", H15="Marketing", "Marketing", H15="Human Resources", "Recursos Humanos")</f>
        <v>Médico</v>
      </c>
      <c r="AL15" t="str" cm="1">
        <f t="array" ref="AL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" spans="1:38" x14ac:dyDescent="0.25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IF(tbRh[[#This Row],[Gender]]="Female","Feminino","Masculino")</f>
        <v>Masculino</v>
      </c>
      <c r="AK16" t="str" cm="1">
        <f t="array" ref="AK16">_xlfn.IFS(H16="Life Sciences", "Ciências da Vida", H16="Other", "Outro", H16="Medical", "Médico", H16="Technical Degree", "Curso Técnico", H16="Marketing", "Marketing", H16="Human Resources", "Recursos Humanos")</f>
        <v>Ciências da Vida</v>
      </c>
      <c r="AL16" t="str" cm="1">
        <f t="array" ref="AL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" spans="1:38" x14ac:dyDescent="0.25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IF(tbRh[[#This Row],[Gender]]="Female","Feminino","Masculino")</f>
        <v>Feminino</v>
      </c>
      <c r="AK17" t="str" cm="1">
        <f t="array" ref="AK17">_xlfn.IFS(H17="Life Sciences", "Ciências da Vida", H17="Other", "Outro", H17="Medical", "Médico", H17="Technical Degree", "Curso Técnico", H17="Marketing", "Marketing", H17="Human Resources", "Recursos Humanos")</f>
        <v>Ciências da Vida</v>
      </c>
      <c r="AL17" t="str" cm="1">
        <f t="array" ref="AL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" spans="1:38" x14ac:dyDescent="0.25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IF(tbRh[[#This Row],[Gender]]="Female","Feminino","Masculino")</f>
        <v>Masculino</v>
      </c>
      <c r="AK18" t="str" cm="1">
        <f t="array" ref="AK18">_xlfn.IFS(H18="Life Sciences", "Ciências da Vida", H18="Other", "Outro", H18="Medical", "Médico", H18="Technical Degree", "Curso Técnico", H18="Marketing", "Marketing", H18="Human Resources", "Recursos Humanos")</f>
        <v>Ciências da Vida</v>
      </c>
      <c r="AL18" t="str" cm="1">
        <f t="array" ref="AL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" spans="1:38" x14ac:dyDescent="0.25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IF(tbRh[[#This Row],[Gender]]="Female","Feminino","Masculino")</f>
        <v>Masculino</v>
      </c>
      <c r="AK19" t="str" cm="1">
        <f t="array" ref="AK19">_xlfn.IFS(H19="Life Sciences", "Ciências da Vida", H19="Other", "Outro", H19="Medical", "Médico", H19="Technical Degree", "Curso Técnico", H19="Marketing", "Marketing", H19="Human Resources", "Recursos Humanos")</f>
        <v>Médico</v>
      </c>
      <c r="AL19" t="str" cm="1">
        <f t="array" ref="AL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" spans="1:38" x14ac:dyDescent="0.25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IF(tbRh[[#This Row],[Gender]]="Female","Feminino","Masculino")</f>
        <v>Feminino</v>
      </c>
      <c r="AK20" t="str" cm="1">
        <f t="array" ref="AK20">_xlfn.IFS(H20="Life Sciences", "Ciências da Vida", H20="Other", "Outro", H20="Medical", "Médico", H20="Technical Degree", "Curso Técnico", H20="Marketing", "Marketing", H20="Human Resources", "Recursos Humanos")</f>
        <v>Ciências da Vida</v>
      </c>
      <c r="AL20" t="str" cm="1">
        <f t="array" ref="AL2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1" spans="1:38" x14ac:dyDescent="0.25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IF(tbRh[[#This Row],[Gender]]="Female","Feminino","Masculino")</f>
        <v>Masculino</v>
      </c>
      <c r="AK21" t="str" cm="1">
        <f t="array" ref="AK21">_xlfn.IFS(H21="Life Sciences", "Ciências da Vida", H21="Other", "Outro", H21="Medical", "Médico", H21="Technical Degree", "Curso Técnico", H21="Marketing", "Marketing", H21="Human Resources", "Recursos Humanos")</f>
        <v>Ciências da Vida</v>
      </c>
      <c r="AL21" t="str" cm="1">
        <f t="array" ref="AL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" spans="1:38" x14ac:dyDescent="0.25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IF(tbRh[[#This Row],[Gender]]="Female","Feminino","Masculino")</f>
        <v>Feminino</v>
      </c>
      <c r="AK22" t="str" cm="1">
        <f t="array" ref="AK22">_xlfn.IFS(H22="Life Sciences", "Ciências da Vida", H22="Other", "Outro", H22="Medical", "Médico", H22="Technical Degree", "Curso Técnico", H22="Marketing", "Marketing", H22="Human Resources", "Recursos Humanos")</f>
        <v>Outro</v>
      </c>
      <c r="AL22" t="str" cm="1">
        <f t="array" ref="AL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3" spans="1:38" x14ac:dyDescent="0.25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IF(tbRh[[#This Row],[Gender]]="Female","Feminino","Masculino")</f>
        <v>Masculino</v>
      </c>
      <c r="AK23" t="str" cm="1">
        <f t="array" ref="AK23">_xlfn.IFS(H23="Life Sciences", "Ciências da Vida", H23="Other", "Outro", H23="Medical", "Médico", H23="Technical Degree", "Curso Técnico", H23="Marketing", "Marketing", H23="Human Resources", "Recursos Humanos")</f>
        <v>Ciências da Vida</v>
      </c>
      <c r="AL23" t="str" cm="1">
        <f t="array" ref="AL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4" spans="1:38" x14ac:dyDescent="0.25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IF(tbRh[[#This Row],[Gender]]="Female","Feminino","Masculino")</f>
        <v>Feminino</v>
      </c>
      <c r="AK24" t="str" cm="1">
        <f t="array" ref="AK24">_xlfn.IFS(H24="Life Sciences", "Ciências da Vida", H24="Other", "Outro", H24="Medical", "Médico", H24="Technical Degree", "Curso Técnico", H24="Marketing", "Marketing", H24="Human Resources", "Recursos Humanos")</f>
        <v>Ciências da Vida</v>
      </c>
      <c r="AL24" t="str" cm="1">
        <f t="array" ref="AL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" spans="1:38" x14ac:dyDescent="0.25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IF(tbRh[[#This Row],[Gender]]="Female","Feminino","Masculino")</f>
        <v>Masculino</v>
      </c>
      <c r="AK25" t="str" cm="1">
        <f t="array" ref="AK25">_xlfn.IFS(H25="Life Sciences", "Ciências da Vida", H25="Other", "Outro", H25="Medical", "Médico", H25="Technical Degree", "Curso Técnico", H25="Marketing", "Marketing", H25="Human Resources", "Recursos Humanos")</f>
        <v>Ciências da Vida</v>
      </c>
      <c r="AL25" t="str" cm="1">
        <f t="array" ref="AL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" spans="1:38" x14ac:dyDescent="0.25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IF(tbRh[[#This Row],[Gender]]="Female","Feminino","Masculino")</f>
        <v>Masculino</v>
      </c>
      <c r="AK26" t="str" cm="1">
        <f t="array" ref="AK26">_xlfn.IFS(H26="Life Sciences", "Ciências da Vida", H26="Other", "Outro", H26="Medical", "Médico", H26="Technical Degree", "Curso Técnico", H26="Marketing", "Marketing", H26="Human Resources", "Recursos Humanos")</f>
        <v>Médico</v>
      </c>
      <c r="AL26" t="str" cm="1">
        <f t="array" ref="AL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" spans="1:38" x14ac:dyDescent="0.25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IF(tbRh[[#This Row],[Gender]]="Female","Feminino","Masculino")</f>
        <v>Feminino</v>
      </c>
      <c r="AK27" t="str" cm="1">
        <f t="array" ref="AK27">_xlfn.IFS(H27="Life Sciences", "Ciências da Vida", H27="Other", "Outro", H27="Medical", "Médico", H27="Technical Degree", "Curso Técnico", H27="Marketing", "Marketing", H27="Human Resources", "Recursos Humanos")</f>
        <v>Outro</v>
      </c>
      <c r="AL27" t="str" cm="1">
        <f t="array" ref="AL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" spans="1:38" x14ac:dyDescent="0.25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IF(tbRh[[#This Row],[Gender]]="Female","Feminino","Masculino")</f>
        <v>Feminino</v>
      </c>
      <c r="AK28" t="str" cm="1">
        <f t="array" ref="AK28">_xlfn.IFS(H28="Life Sciences", "Ciências da Vida", H28="Other", "Outro", H28="Medical", "Médico", H28="Technical Degree", "Curso Técnico", H28="Marketing", "Marketing", H28="Human Resources", "Recursos Humanos")</f>
        <v>Ciências da Vida</v>
      </c>
      <c r="AL28" t="str" cm="1">
        <f t="array" ref="AL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" spans="1:38" x14ac:dyDescent="0.25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IF(tbRh[[#This Row],[Gender]]="Female","Feminino","Masculino")</f>
        <v>Masculino</v>
      </c>
      <c r="AK29" t="str" cm="1">
        <f t="array" ref="AK29">_xlfn.IFS(H29="Life Sciences", "Ciências da Vida", H29="Other", "Outro", H29="Medical", "Médico", H29="Technical Degree", "Curso Técnico", H29="Marketing", "Marketing", H29="Human Resources", "Recursos Humanos")</f>
        <v>Marketing</v>
      </c>
      <c r="AL29" t="str" cm="1">
        <f t="array" ref="AL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0" spans="1:38" x14ac:dyDescent="0.25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IF(tbRh[[#This Row],[Gender]]="Female","Feminino","Masculino")</f>
        <v>Feminino</v>
      </c>
      <c r="AK30" t="str" cm="1">
        <f t="array" ref="AK30">_xlfn.IFS(H30="Life Sciences", "Ciências da Vida", H30="Other", "Outro", H30="Medical", "Médico", H30="Technical Degree", "Curso Técnico", H30="Marketing", "Marketing", H30="Human Resources", "Recursos Humanos")</f>
        <v>Médico</v>
      </c>
      <c r="AL30" t="str" cm="1">
        <f t="array" ref="AL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" spans="1:38" x14ac:dyDescent="0.25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IF(tbRh[[#This Row],[Gender]]="Female","Feminino","Masculino")</f>
        <v>Feminino</v>
      </c>
      <c r="AK31" t="str" cm="1">
        <f t="array" ref="AK31">_xlfn.IFS(H31="Life Sciences", "Ciências da Vida", H31="Other", "Outro", H31="Medical", "Médico", H31="Technical Degree", "Curso Técnico", H31="Marketing", "Marketing", H31="Human Resources", "Recursos Humanos")</f>
        <v>Marketing</v>
      </c>
      <c r="AL31" t="str" cm="1">
        <f t="array" ref="AL3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2" spans="1:38" x14ac:dyDescent="0.25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IF(tbRh[[#This Row],[Gender]]="Female","Feminino","Masculino")</f>
        <v>Masculino</v>
      </c>
      <c r="AK32" t="str" cm="1">
        <f t="array" ref="AK32">_xlfn.IFS(H32="Life Sciences", "Ciências da Vida", H32="Other", "Outro", H32="Medical", "Médico", H32="Technical Degree", "Curso Técnico", H32="Marketing", "Marketing", H32="Human Resources", "Recursos Humanos")</f>
        <v>Médico</v>
      </c>
      <c r="AL32" t="str" cm="1">
        <f t="array" ref="AL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" spans="1:38" x14ac:dyDescent="0.25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IF(tbRh[[#This Row],[Gender]]="Female","Feminino","Masculino")</f>
        <v>Masculino</v>
      </c>
      <c r="AK33" t="str" cm="1">
        <f t="array" ref="AK33">_xlfn.IFS(H33="Life Sciences", "Ciências da Vida", H33="Other", "Outro", H33="Medical", "Médico", H33="Technical Degree", "Curso Técnico", H33="Marketing", "Marketing", H33="Human Resources", "Recursos Humanos")</f>
        <v>Outro</v>
      </c>
      <c r="AL33" t="str" cm="1">
        <f t="array" ref="AL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" spans="1:38" x14ac:dyDescent="0.25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IF(tbRh[[#This Row],[Gender]]="Female","Feminino","Masculino")</f>
        <v>Masculino</v>
      </c>
      <c r="AK34" t="str" cm="1">
        <f t="array" ref="AK34">_xlfn.IFS(H34="Life Sciences", "Ciências da Vida", H34="Other", "Outro", H34="Medical", "Médico", H34="Technical Degree", "Curso Técnico", H34="Marketing", "Marketing", H34="Human Resources", "Recursos Humanos")</f>
        <v>Médico</v>
      </c>
      <c r="AL34" t="str" cm="1">
        <f t="array" ref="AL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5" spans="1:38" x14ac:dyDescent="0.25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IF(tbRh[[#This Row],[Gender]]="Female","Feminino","Masculino")</f>
        <v>Masculino</v>
      </c>
      <c r="AK35" t="str" cm="1">
        <f t="array" ref="AK35">_xlfn.IFS(H35="Life Sciences", "Ciências da Vida", H35="Other", "Outro", H35="Medical", "Médico", H35="Technical Degree", "Curso Técnico", H35="Marketing", "Marketing", H35="Human Resources", "Recursos Humanos")</f>
        <v>Curso Técnico</v>
      </c>
      <c r="AL35" t="str" cm="1">
        <f t="array" ref="AL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" spans="1:38" x14ac:dyDescent="0.25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IF(tbRh[[#This Row],[Gender]]="Female","Feminino","Masculino")</f>
        <v>Masculino</v>
      </c>
      <c r="AK36" t="str" cm="1">
        <f t="array" ref="AK36">_xlfn.IFS(H36="Life Sciences", "Ciências da Vida", H36="Other", "Outro", H36="Medical", "Médico", H36="Technical Degree", "Curso Técnico", H36="Marketing", "Marketing", H36="Human Resources", "Recursos Humanos")</f>
        <v>Médico</v>
      </c>
      <c r="AL36" t="str" cm="1">
        <f t="array" ref="AL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" spans="1:38" x14ac:dyDescent="0.25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IF(tbRh[[#This Row],[Gender]]="Female","Feminino","Masculino")</f>
        <v>Feminino</v>
      </c>
      <c r="AK37" t="str" cm="1">
        <f t="array" ref="AK37">_xlfn.IFS(H37="Life Sciences", "Ciências da Vida", H37="Other", "Outro", H37="Medical", "Médico", H37="Technical Degree", "Curso Técnico", H37="Marketing", "Marketing", H37="Human Resources", "Recursos Humanos")</f>
        <v>Médico</v>
      </c>
      <c r="AL37" t="str" cm="1">
        <f t="array" ref="AL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" spans="1:38" x14ac:dyDescent="0.25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IF(tbRh[[#This Row],[Gender]]="Female","Feminino","Masculino")</f>
        <v>Masculino</v>
      </c>
      <c r="AK38" t="str" cm="1">
        <f t="array" ref="AK38">_xlfn.IFS(H38="Life Sciences", "Ciências da Vida", H38="Other", "Outro", H38="Medical", "Médico", H38="Technical Degree", "Curso Técnico", H38="Marketing", "Marketing", H38="Human Resources", "Recursos Humanos")</f>
        <v>Marketing</v>
      </c>
      <c r="AL38" t="str" cm="1">
        <f t="array" ref="AL3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9" spans="1:38" x14ac:dyDescent="0.25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IF(tbRh[[#This Row],[Gender]]="Female","Feminino","Masculino")</f>
        <v>Feminino</v>
      </c>
      <c r="AK39" t="str" cm="1">
        <f t="array" ref="AK39">_xlfn.IFS(H39="Life Sciences", "Ciências da Vida", H39="Other", "Outro", H39="Medical", "Médico", H39="Technical Degree", "Curso Técnico", H39="Marketing", "Marketing", H39="Human Resources", "Recursos Humanos")</f>
        <v>Marketing</v>
      </c>
      <c r="AL39" t="str" cm="1">
        <f t="array" ref="AL3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0" spans="1:38" x14ac:dyDescent="0.25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IF(tbRh[[#This Row],[Gender]]="Female","Feminino","Masculino")</f>
        <v>Feminino</v>
      </c>
      <c r="AK40" t="str" cm="1">
        <f t="array" ref="AK40">_xlfn.IFS(H40="Life Sciences", "Ciências da Vida", H40="Other", "Outro", H40="Medical", "Médico", H40="Technical Degree", "Curso Técnico", H40="Marketing", "Marketing", H40="Human Resources", "Recursos Humanos")</f>
        <v>Ciências da Vida</v>
      </c>
      <c r="AL40" t="str" cm="1">
        <f t="array" ref="AL4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" spans="1:38" x14ac:dyDescent="0.25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IF(tbRh[[#This Row],[Gender]]="Female","Feminino","Masculino")</f>
        <v>Feminino</v>
      </c>
      <c r="AK41" t="str" cm="1">
        <f t="array" ref="AK41">_xlfn.IFS(H41="Life Sciences", "Ciências da Vida", H41="Other", "Outro", H41="Medical", "Médico", H41="Technical Degree", "Curso Técnico", H41="Marketing", "Marketing", H41="Human Resources", "Recursos Humanos")</f>
        <v>Ciências da Vida</v>
      </c>
      <c r="AL41" t="str" cm="1">
        <f t="array" ref="AL4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2" spans="1:38" x14ac:dyDescent="0.25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IF(tbRh[[#This Row],[Gender]]="Female","Feminino","Masculino")</f>
        <v>Masculino</v>
      </c>
      <c r="AK42" t="str" cm="1">
        <f t="array" ref="AK42">_xlfn.IFS(H42="Life Sciences", "Ciências da Vida", H42="Other", "Outro", H42="Medical", "Médico", H42="Technical Degree", "Curso Técnico", H42="Marketing", "Marketing", H42="Human Resources", "Recursos Humanos")</f>
        <v>Outro</v>
      </c>
      <c r="AL42" t="str" cm="1">
        <f t="array" ref="AL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" spans="1:38" x14ac:dyDescent="0.25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IF(tbRh[[#This Row],[Gender]]="Female","Feminino","Masculino")</f>
        <v>Feminino</v>
      </c>
      <c r="AK43" t="str" cm="1">
        <f t="array" ref="AK43">_xlfn.IFS(H43="Life Sciences", "Ciências da Vida", H43="Other", "Outro", H43="Medical", "Médico", H43="Technical Degree", "Curso Técnico", H43="Marketing", "Marketing", H43="Human Resources", "Recursos Humanos")</f>
        <v>Ciências da Vida</v>
      </c>
      <c r="AL43" t="str" cm="1">
        <f t="array" ref="AL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4" spans="1:38" x14ac:dyDescent="0.25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IF(tbRh[[#This Row],[Gender]]="Female","Feminino","Masculino")</f>
        <v>Masculino</v>
      </c>
      <c r="AK44" t="str" cm="1">
        <f t="array" ref="AK44">_xlfn.IFS(H44="Life Sciences", "Ciências da Vida", H44="Other", "Outro", H44="Medical", "Médico", H44="Technical Degree", "Curso Técnico", H44="Marketing", "Marketing", H44="Human Resources", "Recursos Humanos")</f>
        <v>Ciências da Vida</v>
      </c>
      <c r="AL44" t="str" cm="1">
        <f t="array" ref="AL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5" spans="1:38" x14ac:dyDescent="0.25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IF(tbRh[[#This Row],[Gender]]="Female","Feminino","Masculino")</f>
        <v>Masculino</v>
      </c>
      <c r="AK45" t="str" cm="1">
        <f t="array" ref="AK45">_xlfn.IFS(H45="Life Sciences", "Ciências da Vida", H45="Other", "Outro", H45="Medical", "Médico", H45="Technical Degree", "Curso Técnico", H45="Marketing", "Marketing", H45="Human Resources", "Recursos Humanos")</f>
        <v>Ciências da Vida</v>
      </c>
      <c r="AL45" t="str" cm="1">
        <f t="array" ref="AL4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" spans="1:38" x14ac:dyDescent="0.25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IF(tbRh[[#This Row],[Gender]]="Female","Feminino","Masculino")</f>
        <v>Feminino</v>
      </c>
      <c r="AK46" t="str" cm="1">
        <f t="array" ref="AK46">_xlfn.IFS(H46="Life Sciences", "Ciências da Vida", H46="Other", "Outro", H46="Medical", "Médico", H46="Technical Degree", "Curso Técnico", H46="Marketing", "Marketing", H46="Human Resources", "Recursos Humanos")</f>
        <v>Médico</v>
      </c>
      <c r="AL46" t="str" cm="1">
        <f t="array" ref="AL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" spans="1:38" x14ac:dyDescent="0.25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IF(tbRh[[#This Row],[Gender]]="Female","Feminino","Masculino")</f>
        <v>Feminino</v>
      </c>
      <c r="AK47" t="str" cm="1">
        <f t="array" ref="AK47">_xlfn.IFS(H47="Life Sciences", "Ciências da Vida", H47="Other", "Outro", H47="Medical", "Médico", H47="Technical Degree", "Curso Técnico", H47="Marketing", "Marketing", H47="Human Resources", "Recursos Humanos")</f>
        <v>Curso Técnico</v>
      </c>
      <c r="AL47" t="str" cm="1">
        <f t="array" ref="AL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8" spans="1:38" x14ac:dyDescent="0.25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IF(tbRh[[#This Row],[Gender]]="Female","Feminino","Masculino")</f>
        <v>Masculino</v>
      </c>
      <c r="AK48" t="str" cm="1">
        <f t="array" ref="AK48">_xlfn.IFS(H48="Life Sciences", "Ciências da Vida", H48="Other", "Outro", H48="Medical", "Médico", H48="Technical Degree", "Curso Técnico", H48="Marketing", "Marketing", H48="Human Resources", "Recursos Humanos")</f>
        <v>Marketing</v>
      </c>
      <c r="AL48" t="str" cm="1">
        <f t="array" ref="AL4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9" spans="1:38" x14ac:dyDescent="0.25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IF(tbRh[[#This Row],[Gender]]="Female","Feminino","Masculino")</f>
        <v>Masculino</v>
      </c>
      <c r="AK49" t="str" cm="1">
        <f t="array" ref="AK49">_xlfn.IFS(H49="Life Sciences", "Ciências da Vida", H49="Other", "Outro", H49="Medical", "Médico", H49="Technical Degree", "Curso Técnico", H49="Marketing", "Marketing", H49="Human Resources", "Recursos Humanos")</f>
        <v>Ciências da Vida</v>
      </c>
      <c r="AL49" t="str" cm="1">
        <f t="array" ref="AL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" spans="1:38" x14ac:dyDescent="0.25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IF(tbRh[[#This Row],[Gender]]="Female","Feminino","Masculino")</f>
        <v>Masculino</v>
      </c>
      <c r="AK50" t="str" cm="1">
        <f t="array" ref="AK50">_xlfn.IFS(H50="Life Sciences", "Ciências da Vida", H50="Other", "Outro", H50="Medical", "Médico", H50="Technical Degree", "Curso Técnico", H50="Marketing", "Marketing", H50="Human Resources", "Recursos Humanos")</f>
        <v>Marketing</v>
      </c>
      <c r="AL50" t="str" cm="1">
        <f t="array" ref="AL5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1" spans="1:38" x14ac:dyDescent="0.25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IF(tbRh[[#This Row],[Gender]]="Female","Feminino","Masculino")</f>
        <v>Masculino</v>
      </c>
      <c r="AK51" t="str" cm="1">
        <f t="array" ref="AK51">_xlfn.IFS(H51="Life Sciences", "Ciências da Vida", H51="Other", "Outro", H51="Medical", "Médico", H51="Technical Degree", "Curso Técnico", H51="Marketing", "Marketing", H51="Human Resources", "Recursos Humanos")</f>
        <v>Ciências da Vida</v>
      </c>
      <c r="AL51" t="str" cm="1">
        <f t="array" ref="AL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2" spans="1:38" x14ac:dyDescent="0.25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IF(tbRh[[#This Row],[Gender]]="Female","Feminino","Masculino")</f>
        <v>Masculino</v>
      </c>
      <c r="AK52" t="str" cm="1">
        <f t="array" ref="AK52">_xlfn.IFS(H52="Life Sciences", "Ciências da Vida", H52="Other", "Outro", H52="Medical", "Médico", H52="Technical Degree", "Curso Técnico", H52="Marketing", "Marketing", H52="Human Resources", "Recursos Humanos")</f>
        <v>Ciências da Vida</v>
      </c>
      <c r="AL52" t="str" cm="1">
        <f t="array" ref="AL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3" spans="1:38" x14ac:dyDescent="0.25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IF(tbRh[[#This Row],[Gender]]="Female","Feminino","Masculino")</f>
        <v>Masculino</v>
      </c>
      <c r="AK53" t="str" cm="1">
        <f t="array" ref="AK53">_xlfn.IFS(H53="Life Sciences", "Ciências da Vida", H53="Other", "Outro", H53="Medical", "Médico", H53="Technical Degree", "Curso Técnico", H53="Marketing", "Marketing", H53="Human Resources", "Recursos Humanos")</f>
        <v>Curso Técnico</v>
      </c>
      <c r="AL53" t="str" cm="1">
        <f t="array" ref="AL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4" spans="1:38" x14ac:dyDescent="0.25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IF(tbRh[[#This Row],[Gender]]="Female","Feminino","Masculino")</f>
        <v>Feminino</v>
      </c>
      <c r="AK54" t="str" cm="1">
        <f t="array" ref="AK54">_xlfn.IFS(H54="Life Sciences", "Ciências da Vida", H54="Other", "Outro", H54="Medical", "Médico", H54="Technical Degree", "Curso Técnico", H54="Marketing", "Marketing", H54="Human Resources", "Recursos Humanos")</f>
        <v>Marketing</v>
      </c>
      <c r="AL54" t="str" cm="1">
        <f t="array" ref="AL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5" spans="1:38" x14ac:dyDescent="0.25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IF(tbRh[[#This Row],[Gender]]="Female","Feminino","Masculino")</f>
        <v>Masculino</v>
      </c>
      <c r="AK55" t="str" cm="1">
        <f t="array" ref="AK55">_xlfn.IFS(H55="Life Sciences", "Ciências da Vida", H55="Other", "Outro", H55="Medical", "Médico", H55="Technical Degree", "Curso Técnico", H55="Marketing", "Marketing", H55="Human Resources", "Recursos Humanos")</f>
        <v>Médico</v>
      </c>
      <c r="AL55" t="str" cm="1">
        <f t="array" ref="AL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" spans="1:38" x14ac:dyDescent="0.25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IF(tbRh[[#This Row],[Gender]]="Female","Feminino","Masculino")</f>
        <v>Feminino</v>
      </c>
      <c r="AK56" t="str" cm="1">
        <f t="array" ref="AK56">_xlfn.IFS(H56="Life Sciences", "Ciências da Vida", H56="Other", "Outro", H56="Medical", "Médico", H56="Technical Degree", "Curso Técnico", H56="Marketing", "Marketing", H56="Human Resources", "Recursos Humanos")</f>
        <v>Marketing</v>
      </c>
      <c r="AL56" t="str" cm="1">
        <f t="array" ref="AL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7" spans="1:38" x14ac:dyDescent="0.25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IF(tbRh[[#This Row],[Gender]]="Female","Feminino","Masculino")</f>
        <v>Feminino</v>
      </c>
      <c r="AK57" t="str" cm="1">
        <f t="array" ref="AK57">_xlfn.IFS(H57="Life Sciences", "Ciências da Vida", H57="Other", "Outro", H57="Medical", "Médico", H57="Technical Degree", "Curso Técnico", H57="Marketing", "Marketing", H57="Human Resources", "Recursos Humanos")</f>
        <v>Ciências da Vida</v>
      </c>
      <c r="AL57" t="str" cm="1">
        <f t="array" ref="AL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" spans="1:38" x14ac:dyDescent="0.25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IF(tbRh[[#This Row],[Gender]]="Female","Feminino","Masculino")</f>
        <v>Masculino</v>
      </c>
      <c r="AK58" t="str" cm="1">
        <f t="array" ref="AK58">_xlfn.IFS(H58="Life Sciences", "Ciências da Vida", H58="Other", "Outro", H58="Medical", "Médico", H58="Technical Degree", "Curso Técnico", H58="Marketing", "Marketing", H58="Human Resources", "Recursos Humanos")</f>
        <v>Ciências da Vida</v>
      </c>
      <c r="AL58" t="str" cm="1">
        <f t="array" ref="AL5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9" spans="1:38" x14ac:dyDescent="0.25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IF(tbRh[[#This Row],[Gender]]="Female","Feminino","Masculino")</f>
        <v>Feminino</v>
      </c>
      <c r="AK59" t="str" cm="1">
        <f t="array" ref="AK59">_xlfn.IFS(H59="Life Sciences", "Ciências da Vida", H59="Other", "Outro", H59="Medical", "Médico", H59="Technical Degree", "Curso Técnico", H59="Marketing", "Marketing", H59="Human Resources", "Recursos Humanos")</f>
        <v>Médico</v>
      </c>
      <c r="AL59" t="str" cm="1">
        <f t="array" ref="AL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" spans="1:38" x14ac:dyDescent="0.25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IF(tbRh[[#This Row],[Gender]]="Female","Feminino","Masculino")</f>
        <v>Masculino</v>
      </c>
      <c r="AK60" t="str" cm="1">
        <f t="array" ref="AK60">_xlfn.IFS(H60="Life Sciences", "Ciências da Vida", H60="Other", "Outro", H60="Medical", "Médico", H60="Technical Degree", "Curso Técnico", H60="Marketing", "Marketing", H60="Human Resources", "Recursos Humanos")</f>
        <v>Ciências da Vida</v>
      </c>
      <c r="AL60" t="str" cm="1">
        <f t="array" ref="AL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1" spans="1:38" x14ac:dyDescent="0.25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IF(tbRh[[#This Row],[Gender]]="Female","Feminino","Masculino")</f>
        <v>Masculino</v>
      </c>
      <c r="AK61" t="str" cm="1">
        <f t="array" ref="AK61">_xlfn.IFS(H61="Life Sciences", "Ciências da Vida", H61="Other", "Outro", H61="Medical", "Médico", H61="Technical Degree", "Curso Técnico", H61="Marketing", "Marketing", H61="Human Resources", "Recursos Humanos")</f>
        <v>Ciências da Vida</v>
      </c>
      <c r="AL61" t="str" cm="1">
        <f t="array" ref="AL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2" spans="1:38" x14ac:dyDescent="0.25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IF(tbRh[[#This Row],[Gender]]="Female","Feminino","Masculino")</f>
        <v>Masculino</v>
      </c>
      <c r="AK62" t="str" cm="1">
        <f t="array" ref="AK62">_xlfn.IFS(H62="Life Sciences", "Ciências da Vida", H62="Other", "Outro", H62="Medical", "Médico", H62="Technical Degree", "Curso Técnico", H62="Marketing", "Marketing", H62="Human Resources", "Recursos Humanos")</f>
        <v>Médico</v>
      </c>
      <c r="AL62" t="str" cm="1">
        <f t="array" ref="AL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" spans="1:38" x14ac:dyDescent="0.25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IF(tbRh[[#This Row],[Gender]]="Female","Feminino","Masculino")</f>
        <v>Feminino</v>
      </c>
      <c r="AK63" t="str" cm="1">
        <f t="array" ref="AK63">_xlfn.IFS(H63="Life Sciences", "Ciências da Vida", H63="Other", "Outro", H63="Medical", "Médico", H63="Technical Degree", "Curso Técnico", H63="Marketing", "Marketing", H63="Human Resources", "Recursos Humanos")</f>
        <v>Ciências da Vida</v>
      </c>
      <c r="AL63" t="str" cm="1">
        <f t="array" ref="AL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4" spans="1:38" x14ac:dyDescent="0.25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IF(tbRh[[#This Row],[Gender]]="Female","Feminino","Masculino")</f>
        <v>Feminino</v>
      </c>
      <c r="AK64" t="str" cm="1">
        <f t="array" ref="AK64">_xlfn.IFS(H64="Life Sciences", "Ciências da Vida", H64="Other", "Outro", H64="Medical", "Médico", H64="Technical Degree", "Curso Técnico", H64="Marketing", "Marketing", H64="Human Resources", "Recursos Humanos")</f>
        <v>Médico</v>
      </c>
      <c r="AL64" t="str" cm="1">
        <f t="array" ref="AL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5" spans="1:38" x14ac:dyDescent="0.25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IF(tbRh[[#This Row],[Gender]]="Female","Feminino","Masculino")</f>
        <v>Feminino</v>
      </c>
      <c r="AK65" t="str" cm="1">
        <f t="array" ref="AK65">_xlfn.IFS(H65="Life Sciences", "Ciências da Vida", H65="Other", "Outro", H65="Medical", "Médico", H65="Technical Degree", "Curso Técnico", H65="Marketing", "Marketing", H65="Human Resources", "Recursos Humanos")</f>
        <v>Ciências da Vida</v>
      </c>
      <c r="AL65" t="str" cm="1">
        <f t="array" ref="AL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6" spans="1:38" x14ac:dyDescent="0.25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IF(tbRh[[#This Row],[Gender]]="Female","Feminino","Masculino")</f>
        <v>Feminino</v>
      </c>
      <c r="AK66" t="str" cm="1">
        <f t="array" ref="AK66">_xlfn.IFS(H66="Life Sciences", "Ciências da Vida", H66="Other", "Outro", H66="Medical", "Médico", H66="Technical Degree", "Curso Técnico", H66="Marketing", "Marketing", H66="Human Resources", "Recursos Humanos")</f>
        <v>Curso Técnico</v>
      </c>
      <c r="AL66" t="str" cm="1">
        <f t="array" ref="AL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" spans="1:38" x14ac:dyDescent="0.25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IF(tbRh[[#This Row],[Gender]]="Female","Feminino","Masculino")</f>
        <v>Feminino</v>
      </c>
      <c r="AK67" t="str" cm="1">
        <f t="array" ref="AK67">_xlfn.IFS(H67="Life Sciences", "Ciências da Vida", H67="Other", "Outro", H67="Medical", "Médico", H67="Technical Degree", "Curso Técnico", H67="Marketing", "Marketing", H67="Human Resources", "Recursos Humanos")</f>
        <v>Médico</v>
      </c>
      <c r="AL67" t="str" cm="1">
        <f t="array" ref="AL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" spans="1:38" x14ac:dyDescent="0.25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IF(tbRh[[#This Row],[Gender]]="Female","Feminino","Masculino")</f>
        <v>Masculino</v>
      </c>
      <c r="AK68" t="str" cm="1">
        <f t="array" ref="AK68">_xlfn.IFS(H68="Life Sciences", "Ciências da Vida", H68="Other", "Outro", H68="Medical", "Médico", H68="Technical Degree", "Curso Técnico", H68="Marketing", "Marketing", H68="Human Resources", "Recursos Humanos")</f>
        <v>Ciências da Vida</v>
      </c>
      <c r="AL68" t="str" cm="1">
        <f t="array" ref="AL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" spans="1:38" x14ac:dyDescent="0.25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IF(tbRh[[#This Row],[Gender]]="Female","Feminino","Masculino")</f>
        <v>Masculino</v>
      </c>
      <c r="AK69" t="str" cm="1">
        <f t="array" ref="AK69">_xlfn.IFS(H69="Life Sciences", "Ciências da Vida", H69="Other", "Outro", H69="Medical", "Médico", H69="Technical Degree", "Curso Técnico", H69="Marketing", "Marketing", H69="Human Resources", "Recursos Humanos")</f>
        <v>Ciências da Vida</v>
      </c>
      <c r="AL69" t="str" cm="1">
        <f t="array" ref="AL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0" spans="1:38" x14ac:dyDescent="0.25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IF(tbRh[[#This Row],[Gender]]="Female","Feminino","Masculino")</f>
        <v>Masculino</v>
      </c>
      <c r="AK70" t="str" cm="1">
        <f t="array" ref="AK70">_xlfn.IFS(H70="Life Sciences", "Ciências da Vida", H70="Other", "Outro", H70="Medical", "Médico", H70="Technical Degree", "Curso Técnico", H70="Marketing", "Marketing", H70="Human Resources", "Recursos Humanos")</f>
        <v>Médico</v>
      </c>
      <c r="AL70" t="str" cm="1">
        <f t="array" ref="AL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" spans="1:38" x14ac:dyDescent="0.25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IF(tbRh[[#This Row],[Gender]]="Female","Feminino","Masculino")</f>
        <v>Masculino</v>
      </c>
      <c r="AK71" t="str" cm="1">
        <f t="array" ref="AK71">_xlfn.IFS(H71="Life Sciences", "Ciências da Vida", H71="Other", "Outro", H71="Medical", "Médico", H71="Technical Degree", "Curso Técnico", H71="Marketing", "Marketing", H71="Human Resources", "Recursos Humanos")</f>
        <v>Médico</v>
      </c>
      <c r="AL71" t="str" cm="1">
        <f t="array" ref="AL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" spans="1:38" x14ac:dyDescent="0.25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IF(tbRh[[#This Row],[Gender]]="Female","Feminino","Masculino")</f>
        <v>Feminino</v>
      </c>
      <c r="AK72" t="str" cm="1">
        <f t="array" ref="AK72">_xlfn.IFS(H72="Life Sciences", "Ciências da Vida", H72="Other", "Outro", H72="Medical", "Médico", H72="Technical Degree", "Curso Técnico", H72="Marketing", "Marketing", H72="Human Resources", "Recursos Humanos")</f>
        <v>Ciências da Vida</v>
      </c>
      <c r="AL72" t="str" cm="1">
        <f t="array" ref="AL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3" spans="1:38" x14ac:dyDescent="0.25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IF(tbRh[[#This Row],[Gender]]="Female","Feminino","Masculino")</f>
        <v>Masculino</v>
      </c>
      <c r="AK73" t="str" cm="1">
        <f t="array" ref="AK73">_xlfn.IFS(H73="Life Sciences", "Ciências da Vida", H73="Other", "Outro", H73="Medical", "Médico", H73="Technical Degree", "Curso Técnico", H73="Marketing", "Marketing", H73="Human Resources", "Recursos Humanos")</f>
        <v>Ciências da Vida</v>
      </c>
      <c r="AL73" t="str" cm="1">
        <f t="array" ref="AL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" spans="1:38" x14ac:dyDescent="0.25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IF(tbRh[[#This Row],[Gender]]="Female","Feminino","Masculino")</f>
        <v>Masculino</v>
      </c>
      <c r="AK74" t="str" cm="1">
        <f t="array" ref="AK74">_xlfn.IFS(H74="Life Sciences", "Ciências da Vida", H74="Other", "Outro", H74="Medical", "Médico", H74="Technical Degree", "Curso Técnico", H74="Marketing", "Marketing", H74="Human Resources", "Recursos Humanos")</f>
        <v>Médico</v>
      </c>
      <c r="AL74" t="str" cm="1">
        <f t="array" ref="AL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5" spans="1:38" x14ac:dyDescent="0.25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IF(tbRh[[#This Row],[Gender]]="Female","Feminino","Masculino")</f>
        <v>Masculino</v>
      </c>
      <c r="AK75" t="str" cm="1">
        <f t="array" ref="AK75">_xlfn.IFS(H75="Life Sciences", "Ciências da Vida", H75="Other", "Outro", H75="Medical", "Médico", H75="Technical Degree", "Curso Técnico", H75="Marketing", "Marketing", H75="Human Resources", "Recursos Humanos")</f>
        <v>Ciências da Vida</v>
      </c>
      <c r="AL75" t="str" cm="1">
        <f t="array" ref="AL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6" spans="1:38" x14ac:dyDescent="0.25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IF(tbRh[[#This Row],[Gender]]="Female","Feminino","Masculino")</f>
        <v>Feminino</v>
      </c>
      <c r="AK76" t="str" cm="1">
        <f t="array" ref="AK76">_xlfn.IFS(H76="Life Sciences", "Ciências da Vida", H76="Other", "Outro", H76="Medical", "Médico", H76="Technical Degree", "Curso Técnico", H76="Marketing", "Marketing", H76="Human Resources", "Recursos Humanos")</f>
        <v>Ciências da Vida</v>
      </c>
      <c r="AL76" t="str" cm="1">
        <f t="array" ref="AL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" spans="1:38" x14ac:dyDescent="0.25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IF(tbRh[[#This Row],[Gender]]="Female","Feminino","Masculino")</f>
        <v>Feminino</v>
      </c>
      <c r="AK77" t="str" cm="1">
        <f t="array" ref="AK77">_xlfn.IFS(H77="Life Sciences", "Ciências da Vida", H77="Other", "Outro", H77="Medical", "Médico", H77="Technical Degree", "Curso Técnico", H77="Marketing", "Marketing", H77="Human Resources", "Recursos Humanos")</f>
        <v>Ciências da Vida</v>
      </c>
      <c r="AL77" t="str" cm="1">
        <f t="array" ref="AL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" spans="1:38" x14ac:dyDescent="0.25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IF(tbRh[[#This Row],[Gender]]="Female","Feminino","Masculino")</f>
        <v>Masculino</v>
      </c>
      <c r="AK78" t="str" cm="1">
        <f t="array" ref="AK78">_xlfn.IFS(H78="Life Sciences", "Ciências da Vida", H78="Other", "Outro", H78="Medical", "Médico", H78="Technical Degree", "Curso Técnico", H78="Marketing", "Marketing", H78="Human Resources", "Recursos Humanos")</f>
        <v>Marketing</v>
      </c>
      <c r="AL78" t="str" cm="1">
        <f t="array" ref="AL7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9" spans="1:38" x14ac:dyDescent="0.25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IF(tbRh[[#This Row],[Gender]]="Female","Feminino","Masculino")</f>
        <v>Masculino</v>
      </c>
      <c r="AK79" t="str" cm="1">
        <f t="array" ref="AK79">_xlfn.IFS(H79="Life Sciences", "Ciências da Vida", H79="Other", "Outro", H79="Medical", "Médico", H79="Technical Degree", "Curso Técnico", H79="Marketing", "Marketing", H79="Human Resources", "Recursos Humanos")</f>
        <v>Outro</v>
      </c>
      <c r="AL79" t="str" cm="1">
        <f t="array" ref="AL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" spans="1:38" x14ac:dyDescent="0.25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IF(tbRh[[#This Row],[Gender]]="Female","Feminino","Masculino")</f>
        <v>Masculino</v>
      </c>
      <c r="AK80" t="str" cm="1">
        <f t="array" ref="AK80">_xlfn.IFS(H80="Life Sciences", "Ciências da Vida", H80="Other", "Outro", H80="Medical", "Médico", H80="Technical Degree", "Curso Técnico", H80="Marketing", "Marketing", H80="Human Resources", "Recursos Humanos")</f>
        <v>Médico</v>
      </c>
      <c r="AL80" t="str" cm="1">
        <f t="array" ref="AL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" spans="1:38" x14ac:dyDescent="0.25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IF(tbRh[[#This Row],[Gender]]="Female","Feminino","Masculino")</f>
        <v>Masculino</v>
      </c>
      <c r="AK81" t="str" cm="1">
        <f t="array" ref="AK81">_xlfn.IFS(H81="Life Sciences", "Ciências da Vida", H81="Other", "Outro", H81="Medical", "Médico", H81="Technical Degree", "Curso Técnico", H81="Marketing", "Marketing", H81="Human Resources", "Recursos Humanos")</f>
        <v>Médico</v>
      </c>
      <c r="AL81" t="str" cm="1">
        <f t="array" ref="AL8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82" spans="1:38" x14ac:dyDescent="0.25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IF(tbRh[[#This Row],[Gender]]="Female","Feminino","Masculino")</f>
        <v>Masculino</v>
      </c>
      <c r="AK82" t="str" cm="1">
        <f t="array" ref="AK82">_xlfn.IFS(H82="Life Sciences", "Ciências da Vida", H82="Other", "Outro", H82="Medical", "Médico", H82="Technical Degree", "Curso Técnico", H82="Marketing", "Marketing", H82="Human Resources", "Recursos Humanos")</f>
        <v>Ciências da Vida</v>
      </c>
      <c r="AL82" t="str" cm="1">
        <f t="array" ref="AL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" spans="1:38" x14ac:dyDescent="0.25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IF(tbRh[[#This Row],[Gender]]="Female","Feminino","Masculino")</f>
        <v>Masculino</v>
      </c>
      <c r="AK83" t="str" cm="1">
        <f t="array" ref="AK83">_xlfn.IFS(H83="Life Sciences", "Ciências da Vida", H83="Other", "Outro", H83="Medical", "Médico", H83="Technical Degree", "Curso Técnico", H83="Marketing", "Marketing", H83="Human Resources", "Recursos Humanos")</f>
        <v>Médico</v>
      </c>
      <c r="AL83" t="str" cm="1">
        <f t="array" ref="AL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" spans="1:38" x14ac:dyDescent="0.25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IF(tbRh[[#This Row],[Gender]]="Female","Feminino","Masculino")</f>
        <v>Masculino</v>
      </c>
      <c r="AK84" t="str" cm="1">
        <f t="array" ref="AK84">_xlfn.IFS(H84="Life Sciences", "Ciências da Vida", H84="Other", "Outro", H84="Medical", "Médico", H84="Technical Degree", "Curso Técnico", H84="Marketing", "Marketing", H84="Human Resources", "Recursos Humanos")</f>
        <v>Ciências da Vida</v>
      </c>
      <c r="AL84" t="str" cm="1">
        <f t="array" ref="AL8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5" spans="1:38" x14ac:dyDescent="0.25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IF(tbRh[[#This Row],[Gender]]="Female","Feminino","Masculino")</f>
        <v>Feminino</v>
      </c>
      <c r="AK85" t="str" cm="1">
        <f t="array" ref="AK85">_xlfn.IFS(H85="Life Sciences", "Ciências da Vida", H85="Other", "Outro", H85="Medical", "Médico", H85="Technical Degree", "Curso Técnico", H85="Marketing", "Marketing", H85="Human Resources", "Recursos Humanos")</f>
        <v>Médico</v>
      </c>
      <c r="AL85" t="str" cm="1">
        <f t="array" ref="AL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" spans="1:38" x14ac:dyDescent="0.25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IF(tbRh[[#This Row],[Gender]]="Female","Feminino","Masculino")</f>
        <v>Masculino</v>
      </c>
      <c r="AK86" t="str" cm="1">
        <f t="array" ref="AK86">_xlfn.IFS(H86="Life Sciences", "Ciências da Vida", H86="Other", "Outro", H86="Medical", "Médico", H86="Technical Degree", "Curso Técnico", H86="Marketing", "Marketing", H86="Human Resources", "Recursos Humanos")</f>
        <v>Médico</v>
      </c>
      <c r="AL86" t="str" cm="1">
        <f t="array" ref="AL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" spans="1:38" x14ac:dyDescent="0.25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IF(tbRh[[#This Row],[Gender]]="Female","Feminino","Masculino")</f>
        <v>Masculino</v>
      </c>
      <c r="AK87" t="str" cm="1">
        <f t="array" ref="AK87">_xlfn.IFS(H87="Life Sciences", "Ciências da Vida", H87="Other", "Outro", H87="Medical", "Médico", H87="Technical Degree", "Curso Técnico", H87="Marketing", "Marketing", H87="Human Resources", "Recursos Humanos")</f>
        <v>Ciências da Vida</v>
      </c>
      <c r="AL87" t="str" cm="1">
        <f t="array" ref="AL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" spans="1:38" x14ac:dyDescent="0.25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IF(tbRh[[#This Row],[Gender]]="Female","Feminino","Masculino")</f>
        <v>Masculino</v>
      </c>
      <c r="AK88" t="str" cm="1">
        <f t="array" ref="AK88">_xlfn.IFS(H88="Life Sciences", "Ciências da Vida", H88="Other", "Outro", H88="Medical", "Médico", H88="Technical Degree", "Curso Técnico", H88="Marketing", "Marketing", H88="Human Resources", "Recursos Humanos")</f>
        <v>Curso Técnico</v>
      </c>
      <c r="AL88" t="str" cm="1">
        <f t="array" ref="AL8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9" spans="1:38" x14ac:dyDescent="0.25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IF(tbRh[[#This Row],[Gender]]="Female","Feminino","Masculino")</f>
        <v>Masculino</v>
      </c>
      <c r="AK89" t="str" cm="1">
        <f t="array" ref="AK89">_xlfn.IFS(H89="Life Sciences", "Ciências da Vida", H89="Other", "Outro", H89="Medical", "Médico", H89="Technical Degree", "Curso Técnico", H89="Marketing", "Marketing", H89="Human Resources", "Recursos Humanos")</f>
        <v>Ciências da Vida</v>
      </c>
      <c r="AL89" t="str" cm="1">
        <f t="array" ref="AL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" spans="1:38" x14ac:dyDescent="0.25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IF(tbRh[[#This Row],[Gender]]="Female","Feminino","Masculino")</f>
        <v>Masculino</v>
      </c>
      <c r="AK90" t="str" cm="1">
        <f t="array" ref="AK90">_xlfn.IFS(H90="Life Sciences", "Ciências da Vida", H90="Other", "Outro", H90="Medical", "Médico", H90="Technical Degree", "Curso Técnico", H90="Marketing", "Marketing", H90="Human Resources", "Recursos Humanos")</f>
        <v>Ciências da Vida</v>
      </c>
      <c r="AL90" t="str" cm="1">
        <f t="array" ref="AL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1" spans="1:38" x14ac:dyDescent="0.25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IF(tbRh[[#This Row],[Gender]]="Female","Feminino","Masculino")</f>
        <v>Masculino</v>
      </c>
      <c r="AK91" t="str" cm="1">
        <f t="array" ref="AK91">_xlfn.IFS(H91="Life Sciences", "Ciências da Vida", H91="Other", "Outro", H91="Medical", "Médico", H91="Technical Degree", "Curso Técnico", H91="Marketing", "Marketing", H91="Human Resources", "Recursos Humanos")</f>
        <v>Médico</v>
      </c>
      <c r="AL91" t="str" cm="1">
        <f t="array" ref="AL9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2" spans="1:38" x14ac:dyDescent="0.25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IF(tbRh[[#This Row],[Gender]]="Female","Feminino","Masculino")</f>
        <v>Masculino</v>
      </c>
      <c r="AK92" t="str" cm="1">
        <f t="array" ref="AK92">_xlfn.IFS(H92="Life Sciences", "Ciências da Vida", H92="Other", "Outro", H92="Medical", "Médico", H92="Technical Degree", "Curso Técnico", H92="Marketing", "Marketing", H92="Human Resources", "Recursos Humanos")</f>
        <v>Ciências da Vida</v>
      </c>
      <c r="AL92" t="str" cm="1">
        <f t="array" ref="AL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" spans="1:38" x14ac:dyDescent="0.25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IF(tbRh[[#This Row],[Gender]]="Female","Feminino","Masculino")</f>
        <v>Masculino</v>
      </c>
      <c r="AK93" t="str" cm="1">
        <f t="array" ref="AK93">_xlfn.IFS(H93="Life Sciences", "Ciências da Vida", H93="Other", "Outro", H93="Medical", "Médico", H93="Technical Degree", "Curso Técnico", H93="Marketing", "Marketing", H93="Human Resources", "Recursos Humanos")</f>
        <v>Marketing</v>
      </c>
      <c r="AL93" t="str" cm="1">
        <f t="array" ref="AL9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4" spans="1:38" x14ac:dyDescent="0.25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IF(tbRh[[#This Row],[Gender]]="Female","Feminino","Masculino")</f>
        <v>Feminino</v>
      </c>
      <c r="AK94" t="str" cm="1">
        <f t="array" ref="AK94">_xlfn.IFS(H94="Life Sciences", "Ciências da Vida", H94="Other", "Outro", H94="Medical", "Médico", H94="Technical Degree", "Curso Técnico", H94="Marketing", "Marketing", H94="Human Resources", "Recursos Humanos")</f>
        <v>Médico</v>
      </c>
      <c r="AL94" t="str" cm="1">
        <f t="array" ref="AL9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5" spans="1:38" x14ac:dyDescent="0.25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IF(tbRh[[#This Row],[Gender]]="Female","Feminino","Masculino")</f>
        <v>Masculino</v>
      </c>
      <c r="AK95" t="str" cm="1">
        <f t="array" ref="AK95">_xlfn.IFS(H95="Life Sciences", "Ciências da Vida", H95="Other", "Outro", H95="Medical", "Médico", H95="Technical Degree", "Curso Técnico", H95="Marketing", "Marketing", H95="Human Resources", "Recursos Humanos")</f>
        <v>Médico</v>
      </c>
      <c r="AL95" t="str" cm="1">
        <f t="array" ref="AL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" spans="1:38" x14ac:dyDescent="0.25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IF(tbRh[[#This Row],[Gender]]="Female","Feminino","Masculino")</f>
        <v>Masculino</v>
      </c>
      <c r="AK96" t="str" cm="1">
        <f t="array" ref="AK96">_xlfn.IFS(H96="Life Sciences", "Ciências da Vida", H96="Other", "Outro", H96="Medical", "Médico", H96="Technical Degree", "Curso Técnico", H96="Marketing", "Marketing", H96="Human Resources", "Recursos Humanos")</f>
        <v>Médico</v>
      </c>
      <c r="AL96" t="str" cm="1">
        <f t="array" ref="AL9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7" spans="1:38" x14ac:dyDescent="0.25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IF(tbRh[[#This Row],[Gender]]="Female","Feminino","Masculino")</f>
        <v>Feminino</v>
      </c>
      <c r="AK97" t="str" cm="1">
        <f t="array" ref="AK97">_xlfn.IFS(H97="Life Sciences", "Ciências da Vida", H97="Other", "Outro", H97="Medical", "Médico", H97="Technical Degree", "Curso Técnico", H97="Marketing", "Marketing", H97="Human Resources", "Recursos Humanos")</f>
        <v>Curso Técnico</v>
      </c>
      <c r="AL97" t="str" cm="1">
        <f t="array" ref="AL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" spans="1:38" x14ac:dyDescent="0.25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IF(tbRh[[#This Row],[Gender]]="Female","Feminino","Masculino")</f>
        <v>Feminino</v>
      </c>
      <c r="AK98" t="str" cm="1">
        <f t="array" ref="AK98">_xlfn.IFS(H98="Life Sciences", "Ciências da Vida", H98="Other", "Outro", H98="Medical", "Médico", H98="Technical Degree", "Curso Técnico", H98="Marketing", "Marketing", H98="Human Resources", "Recursos Humanos")</f>
        <v>Outro</v>
      </c>
      <c r="AL98" t="str" cm="1">
        <f t="array" ref="AL9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9" spans="1:38" x14ac:dyDescent="0.25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IF(tbRh[[#This Row],[Gender]]="Female","Feminino","Masculino")</f>
        <v>Masculino</v>
      </c>
      <c r="AK99" t="str" cm="1">
        <f t="array" ref="AK99">_xlfn.IFS(H99="Life Sciences", "Ciências da Vida", H99="Other", "Outro", H99="Medical", "Médico", H99="Technical Degree", "Curso Técnico", H99="Marketing", "Marketing", H99="Human Resources", "Recursos Humanos")</f>
        <v>Médico</v>
      </c>
      <c r="AL99" t="str" cm="1">
        <f t="array" ref="AL9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0" spans="1:38" x14ac:dyDescent="0.25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IF(tbRh[[#This Row],[Gender]]="Female","Feminino","Masculino")</f>
        <v>Masculino</v>
      </c>
      <c r="AK100" t="str" cm="1">
        <f t="array" ref="AK100">_xlfn.IFS(H100="Life Sciences", "Ciências da Vida", H100="Other", "Outro", H100="Medical", "Médico", H100="Technical Degree", "Curso Técnico", H100="Marketing", "Marketing", H100="Human Resources", "Recursos Humanos")</f>
        <v>Médico</v>
      </c>
      <c r="AL100" t="str" cm="1">
        <f t="array" ref="AL10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1" spans="1:38" x14ac:dyDescent="0.25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IF(tbRh[[#This Row],[Gender]]="Female","Feminino","Masculino")</f>
        <v>Masculino</v>
      </c>
      <c r="AK101" t="str" cm="1">
        <f t="array" ref="AK101">_xlfn.IFS(H101="Life Sciences", "Ciências da Vida", H101="Other", "Outro", H101="Medical", "Médico", H101="Technical Degree", "Curso Técnico", H101="Marketing", "Marketing", H101="Human Resources", "Recursos Humanos")</f>
        <v>Médico</v>
      </c>
      <c r="AL101" t="str" cm="1">
        <f t="array" ref="AL1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" spans="1:38" x14ac:dyDescent="0.25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IF(tbRh[[#This Row],[Gender]]="Female","Feminino","Masculino")</f>
        <v>Masculino</v>
      </c>
      <c r="AK102" t="str" cm="1">
        <f t="array" ref="AK102">_xlfn.IFS(H102="Life Sciences", "Ciências da Vida", H102="Other", "Outro", H102="Medical", "Médico", H102="Technical Degree", "Curso Técnico", H102="Marketing", "Marketing", H102="Human Resources", "Recursos Humanos")</f>
        <v>Recursos Humanos</v>
      </c>
      <c r="AL102" t="str" cm="1">
        <f t="array" ref="AL10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3" spans="1:38" x14ac:dyDescent="0.25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IF(tbRh[[#This Row],[Gender]]="Female","Feminino","Masculino")</f>
        <v>Masculino</v>
      </c>
      <c r="AK103" t="str" cm="1">
        <f t="array" ref="AK103">_xlfn.IFS(H103="Life Sciences", "Ciências da Vida", H103="Other", "Outro", H103="Medical", "Médico", H103="Technical Degree", "Curso Técnico", H103="Marketing", "Marketing", H103="Human Resources", "Recursos Humanos")</f>
        <v>Ciências da Vida</v>
      </c>
      <c r="AL103" t="str" cm="1">
        <f t="array" ref="AL1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" spans="1:38" x14ac:dyDescent="0.25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IF(tbRh[[#This Row],[Gender]]="Female","Feminino","Masculino")</f>
        <v>Feminino</v>
      </c>
      <c r="AK104" t="str" cm="1">
        <f t="array" ref="AK104">_xlfn.IFS(H104="Life Sciences", "Ciências da Vida", H104="Other", "Outro", H104="Medical", "Médico", H104="Technical Degree", "Curso Técnico", H104="Marketing", "Marketing", H104="Human Resources", "Recursos Humanos")</f>
        <v>Ciências da Vida</v>
      </c>
      <c r="AL104" t="str" cm="1">
        <f t="array" ref="AL1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5" spans="1:38" x14ac:dyDescent="0.25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IF(tbRh[[#This Row],[Gender]]="Female","Feminino","Masculino")</f>
        <v>Feminino</v>
      </c>
      <c r="AK105" t="str" cm="1">
        <f t="array" ref="AK105">_xlfn.IFS(H105="Life Sciences", "Ciências da Vida", H105="Other", "Outro", H105="Medical", "Médico", H105="Technical Degree", "Curso Técnico", H105="Marketing", "Marketing", H105="Human Resources", "Recursos Humanos")</f>
        <v>Outro</v>
      </c>
      <c r="AL105" t="str" cm="1">
        <f t="array" ref="AL1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6" spans="1:38" x14ac:dyDescent="0.25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IF(tbRh[[#This Row],[Gender]]="Female","Feminino","Masculino")</f>
        <v>Masculino</v>
      </c>
      <c r="AK106" t="str" cm="1">
        <f t="array" ref="AK106">_xlfn.IFS(H106="Life Sciences", "Ciências da Vida", H106="Other", "Outro", H106="Medical", "Médico", H106="Technical Degree", "Curso Técnico", H106="Marketing", "Marketing", H106="Human Resources", "Recursos Humanos")</f>
        <v>Ciências da Vida</v>
      </c>
      <c r="AL106" t="str" cm="1">
        <f t="array" ref="AL1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" spans="1:38" x14ac:dyDescent="0.25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IF(tbRh[[#This Row],[Gender]]="Female","Feminino","Masculino")</f>
        <v>Feminino</v>
      </c>
      <c r="AK107" t="str" cm="1">
        <f t="array" ref="AK107">_xlfn.IFS(H107="Life Sciences", "Ciências da Vida", H107="Other", "Outro", H107="Medical", "Médico", H107="Technical Degree", "Curso Técnico", H107="Marketing", "Marketing", H107="Human Resources", "Recursos Humanos")</f>
        <v>Recursos Humanos</v>
      </c>
      <c r="AL107" t="str" cm="1">
        <f t="array" ref="AL10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8" spans="1:38" x14ac:dyDescent="0.25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IF(tbRh[[#This Row],[Gender]]="Female","Feminino","Masculino")</f>
        <v>Feminino</v>
      </c>
      <c r="AK108" t="str" cm="1">
        <f t="array" ref="AK108">_xlfn.IFS(H108="Life Sciences", "Ciências da Vida", H108="Other", "Outro", H108="Medical", "Médico", H108="Technical Degree", "Curso Técnico", H108="Marketing", "Marketing", H108="Human Resources", "Recursos Humanos")</f>
        <v>Ciências da Vida</v>
      </c>
      <c r="AL108" t="str" cm="1">
        <f t="array" ref="AL1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" spans="1:38" x14ac:dyDescent="0.25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IF(tbRh[[#This Row],[Gender]]="Female","Feminino","Masculino")</f>
        <v>Masculino</v>
      </c>
      <c r="AK109" t="str" cm="1">
        <f t="array" ref="AK109">_xlfn.IFS(H109="Life Sciences", "Ciências da Vida", H109="Other", "Outro", H109="Medical", "Médico", H109="Technical Degree", "Curso Técnico", H109="Marketing", "Marketing", H109="Human Resources", "Recursos Humanos")</f>
        <v>Marketing</v>
      </c>
      <c r="AL109" t="str" cm="1">
        <f t="array" ref="AL10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0" spans="1:38" x14ac:dyDescent="0.25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IF(tbRh[[#This Row],[Gender]]="Female","Feminino","Masculino")</f>
        <v>Masculino</v>
      </c>
      <c r="AK110" t="str" cm="1">
        <f t="array" ref="AK110">_xlfn.IFS(H110="Life Sciences", "Ciências da Vida", H110="Other", "Outro", H110="Medical", "Médico", H110="Technical Degree", "Curso Técnico", H110="Marketing", "Marketing", H110="Human Resources", "Recursos Humanos")</f>
        <v>Médico</v>
      </c>
      <c r="AL110" t="str" cm="1">
        <f t="array" ref="AL1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" spans="1:38" x14ac:dyDescent="0.25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IF(tbRh[[#This Row],[Gender]]="Female","Feminino","Masculino")</f>
        <v>Feminino</v>
      </c>
      <c r="AK111" t="str" cm="1">
        <f t="array" ref="AK111">_xlfn.IFS(H111="Life Sciences", "Ciências da Vida", H111="Other", "Outro", H111="Medical", "Médico", H111="Technical Degree", "Curso Técnico", H111="Marketing", "Marketing", H111="Human Resources", "Recursos Humanos")</f>
        <v>Médico</v>
      </c>
      <c r="AL111" t="str" cm="1">
        <f t="array" ref="AL1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2" spans="1:38" x14ac:dyDescent="0.25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IF(tbRh[[#This Row],[Gender]]="Female","Feminino","Masculino")</f>
        <v>Feminino</v>
      </c>
      <c r="AK112" t="str" cm="1">
        <f t="array" ref="AK112">_xlfn.IFS(H112="Life Sciences", "Ciências da Vida", H112="Other", "Outro", H112="Medical", "Médico", H112="Technical Degree", "Curso Técnico", H112="Marketing", "Marketing", H112="Human Resources", "Recursos Humanos")</f>
        <v>Médico</v>
      </c>
      <c r="AL112" t="str" cm="1">
        <f t="array" ref="AL1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" spans="1:38" x14ac:dyDescent="0.25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IF(tbRh[[#This Row],[Gender]]="Female","Feminino","Masculino")</f>
        <v>Masculino</v>
      </c>
      <c r="AK113" t="str" cm="1">
        <f t="array" ref="AK113">_xlfn.IFS(H113="Life Sciences", "Ciências da Vida", H113="Other", "Outro", H113="Medical", "Médico", H113="Technical Degree", "Curso Técnico", H113="Marketing", "Marketing", H113="Human Resources", "Recursos Humanos")</f>
        <v>Ciências da Vida</v>
      </c>
      <c r="AL113" t="str" cm="1">
        <f t="array" ref="AL1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" spans="1:38" x14ac:dyDescent="0.25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IF(tbRh[[#This Row],[Gender]]="Female","Feminino","Masculino")</f>
        <v>Feminino</v>
      </c>
      <c r="AK114" t="str" cm="1">
        <f t="array" ref="AK114">_xlfn.IFS(H114="Life Sciences", "Ciências da Vida", H114="Other", "Outro", H114="Medical", "Médico", H114="Technical Degree", "Curso Técnico", H114="Marketing", "Marketing", H114="Human Resources", "Recursos Humanos")</f>
        <v>Recursos Humanos</v>
      </c>
      <c r="AL114" t="str" cm="1">
        <f t="array" ref="AL114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15" spans="1:38" x14ac:dyDescent="0.25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IF(tbRh[[#This Row],[Gender]]="Female","Feminino","Masculino")</f>
        <v>Masculino</v>
      </c>
      <c r="AK115" t="str" cm="1">
        <f t="array" ref="AK115">_xlfn.IFS(H115="Life Sciences", "Ciências da Vida", H115="Other", "Outro", H115="Medical", "Médico", H115="Technical Degree", "Curso Técnico", H115="Marketing", "Marketing", H115="Human Resources", "Recursos Humanos")</f>
        <v>Ciências da Vida</v>
      </c>
      <c r="AL115" t="str" cm="1">
        <f t="array" ref="AL1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" spans="1:38" x14ac:dyDescent="0.25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IF(tbRh[[#This Row],[Gender]]="Female","Feminino","Masculino")</f>
        <v>Feminino</v>
      </c>
      <c r="AK116" t="str" cm="1">
        <f t="array" ref="AK116">_xlfn.IFS(H116="Life Sciences", "Ciências da Vida", H116="Other", "Outro", H116="Medical", "Médico", H116="Technical Degree", "Curso Técnico", H116="Marketing", "Marketing", H116="Human Resources", "Recursos Humanos")</f>
        <v>Ciências da Vida</v>
      </c>
      <c r="AL116" t="str" cm="1">
        <f t="array" ref="AL1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" spans="1:38" x14ac:dyDescent="0.25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IF(tbRh[[#This Row],[Gender]]="Female","Feminino","Masculino")</f>
        <v>Masculino</v>
      </c>
      <c r="AK117" t="str" cm="1">
        <f t="array" ref="AK117">_xlfn.IFS(H117="Life Sciences", "Ciências da Vida", H117="Other", "Outro", H117="Medical", "Médico", H117="Technical Degree", "Curso Técnico", H117="Marketing", "Marketing", H117="Human Resources", "Recursos Humanos")</f>
        <v>Ciências da Vida</v>
      </c>
      <c r="AL117" t="str" cm="1">
        <f t="array" ref="AL11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8" spans="1:38" x14ac:dyDescent="0.25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IF(tbRh[[#This Row],[Gender]]="Female","Feminino","Masculino")</f>
        <v>Feminino</v>
      </c>
      <c r="AK118" t="str" cm="1">
        <f t="array" ref="AK118">_xlfn.IFS(H118="Life Sciences", "Ciências da Vida", H118="Other", "Outro", H118="Medical", "Médico", H118="Technical Degree", "Curso Técnico", H118="Marketing", "Marketing", H118="Human Resources", "Recursos Humanos")</f>
        <v>Médico</v>
      </c>
      <c r="AL118" t="str" cm="1">
        <f t="array" ref="AL1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9" spans="1:38" x14ac:dyDescent="0.25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IF(tbRh[[#This Row],[Gender]]="Female","Feminino","Masculino")</f>
        <v>Feminino</v>
      </c>
      <c r="AK119" t="str" cm="1">
        <f t="array" ref="AK119">_xlfn.IFS(H119="Life Sciences", "Ciências da Vida", H119="Other", "Outro", H119="Medical", "Médico", H119="Technical Degree", "Curso Técnico", H119="Marketing", "Marketing", H119="Human Resources", "Recursos Humanos")</f>
        <v>Curso Técnico</v>
      </c>
      <c r="AL119" t="str" cm="1">
        <f t="array" ref="AL11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0" spans="1:38" x14ac:dyDescent="0.25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IF(tbRh[[#This Row],[Gender]]="Female","Feminino","Masculino")</f>
        <v>Feminino</v>
      </c>
      <c r="AK120" t="str" cm="1">
        <f t="array" ref="AK120">_xlfn.IFS(H120="Life Sciences", "Ciências da Vida", H120="Other", "Outro", H120="Medical", "Médico", H120="Technical Degree", "Curso Técnico", H120="Marketing", "Marketing", H120="Human Resources", "Recursos Humanos")</f>
        <v>Ciências da Vida</v>
      </c>
      <c r="AL120" t="str" cm="1">
        <f t="array" ref="AL1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" spans="1:38" x14ac:dyDescent="0.25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IF(tbRh[[#This Row],[Gender]]="Female","Feminino","Masculino")</f>
        <v>Masculino</v>
      </c>
      <c r="AK121" t="str" cm="1">
        <f t="array" ref="AK121">_xlfn.IFS(H121="Life Sciences", "Ciências da Vida", H121="Other", "Outro", H121="Medical", "Médico", H121="Technical Degree", "Curso Técnico", H121="Marketing", "Marketing", H121="Human Resources", "Recursos Humanos")</f>
        <v>Ciências da Vida</v>
      </c>
      <c r="AL121" t="str" cm="1">
        <f t="array" ref="AL1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2" spans="1:38" x14ac:dyDescent="0.25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IF(tbRh[[#This Row],[Gender]]="Female","Feminino","Masculino")</f>
        <v>Masculino</v>
      </c>
      <c r="AK122" t="str" cm="1">
        <f t="array" ref="AK122">_xlfn.IFS(H122="Life Sciences", "Ciências da Vida", H122="Other", "Outro", H122="Medical", "Médico", H122="Technical Degree", "Curso Técnico", H122="Marketing", "Marketing", H122="Human Resources", "Recursos Humanos")</f>
        <v>Ciências da Vida</v>
      </c>
      <c r="AL122" t="str" cm="1">
        <f t="array" ref="AL1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" spans="1:38" x14ac:dyDescent="0.25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IF(tbRh[[#This Row],[Gender]]="Female","Feminino","Masculino")</f>
        <v>Masculino</v>
      </c>
      <c r="AK123" t="str" cm="1">
        <f t="array" ref="AK123">_xlfn.IFS(H123="Life Sciences", "Ciências da Vida", H123="Other", "Outro", H123="Medical", "Médico", H123="Technical Degree", "Curso Técnico", H123="Marketing", "Marketing", H123="Human Resources", "Recursos Humanos")</f>
        <v>Marketing</v>
      </c>
      <c r="AL123" t="str" cm="1">
        <f t="array" ref="AL1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4" spans="1:38" x14ac:dyDescent="0.25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IF(tbRh[[#This Row],[Gender]]="Female","Feminino","Masculino")</f>
        <v>Feminino</v>
      </c>
      <c r="AK124" t="str" cm="1">
        <f t="array" ref="AK124">_xlfn.IFS(H124="Life Sciences", "Ciências da Vida", H124="Other", "Outro", H124="Medical", "Médico", H124="Technical Degree", "Curso Técnico", H124="Marketing", "Marketing", H124="Human Resources", "Recursos Humanos")</f>
        <v>Ciências da Vida</v>
      </c>
      <c r="AL124" t="str" cm="1">
        <f t="array" ref="AL1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5" spans="1:38" x14ac:dyDescent="0.25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IF(tbRh[[#This Row],[Gender]]="Female","Feminino","Masculino")</f>
        <v>Masculino</v>
      </c>
      <c r="AK125" t="str" cm="1">
        <f t="array" ref="AK125">_xlfn.IFS(H125="Life Sciences", "Ciências da Vida", H125="Other", "Outro", H125="Medical", "Médico", H125="Technical Degree", "Curso Técnico", H125="Marketing", "Marketing", H125="Human Resources", "Recursos Humanos")</f>
        <v>Ciências da Vida</v>
      </c>
      <c r="AL125" t="str" cm="1">
        <f t="array" ref="AL1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" spans="1:38" x14ac:dyDescent="0.25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IF(tbRh[[#This Row],[Gender]]="Female","Feminino","Masculino")</f>
        <v>Masculino</v>
      </c>
      <c r="AK126" t="str" cm="1">
        <f t="array" ref="AK126">_xlfn.IFS(H126="Life Sciences", "Ciências da Vida", H126="Other", "Outro", H126="Medical", "Médico", H126="Technical Degree", "Curso Técnico", H126="Marketing", "Marketing", H126="Human Resources", "Recursos Humanos")</f>
        <v>Ciências da Vida</v>
      </c>
      <c r="AL126" t="str" cm="1">
        <f t="array" ref="AL12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7" spans="1:38" x14ac:dyDescent="0.25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IF(tbRh[[#This Row],[Gender]]="Female","Feminino","Masculino")</f>
        <v>Feminino</v>
      </c>
      <c r="AK127" t="str" cm="1">
        <f t="array" ref="AK127">_xlfn.IFS(H127="Life Sciences", "Ciências da Vida", H127="Other", "Outro", H127="Medical", "Médico", H127="Technical Degree", "Curso Técnico", H127="Marketing", "Marketing", H127="Human Resources", "Recursos Humanos")</f>
        <v>Outro</v>
      </c>
      <c r="AL127" t="str" cm="1">
        <f t="array" ref="AL1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" spans="1:38" x14ac:dyDescent="0.25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IF(tbRh[[#This Row],[Gender]]="Female","Feminino","Masculino")</f>
        <v>Feminino</v>
      </c>
      <c r="AK128" t="str" cm="1">
        <f t="array" ref="AK128">_xlfn.IFS(H128="Life Sciences", "Ciências da Vida", H128="Other", "Outro", H128="Medical", "Médico", H128="Technical Degree", "Curso Técnico", H128="Marketing", "Marketing", H128="Human Resources", "Recursos Humanos")</f>
        <v>Médico</v>
      </c>
      <c r="AL128" t="str" cm="1">
        <f t="array" ref="AL1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" spans="1:38" x14ac:dyDescent="0.25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IF(tbRh[[#This Row],[Gender]]="Female","Feminino","Masculino")</f>
        <v>Masculino</v>
      </c>
      <c r="AK129" t="str" cm="1">
        <f t="array" ref="AK129">_xlfn.IFS(H129="Life Sciences", "Ciências da Vida", H129="Other", "Outro", H129="Medical", "Médico", H129="Technical Degree", "Curso Técnico", H129="Marketing", "Marketing", H129="Human Resources", "Recursos Humanos")</f>
        <v>Marketing</v>
      </c>
      <c r="AL129" t="str" cm="1">
        <f t="array" ref="AL1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0" spans="1:38" x14ac:dyDescent="0.25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IF(tbRh[[#This Row],[Gender]]="Female","Feminino","Masculino")</f>
        <v>Masculino</v>
      </c>
      <c r="AK130" t="str" cm="1">
        <f t="array" ref="AK130">_xlfn.IFS(H130="Life Sciences", "Ciências da Vida", H130="Other", "Outro", H130="Medical", "Médico", H130="Technical Degree", "Curso Técnico", H130="Marketing", "Marketing", H130="Human Resources", "Recursos Humanos")</f>
        <v>Curso Técnico</v>
      </c>
      <c r="AL130" t="str" cm="1">
        <f t="array" ref="AL1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1" spans="1:38" x14ac:dyDescent="0.25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IF(tbRh[[#This Row],[Gender]]="Female","Feminino","Masculino")</f>
        <v>Feminino</v>
      </c>
      <c r="AK131" t="str" cm="1">
        <f t="array" ref="AK131">_xlfn.IFS(H131="Life Sciences", "Ciências da Vida", H131="Other", "Outro", H131="Medical", "Médico", H131="Technical Degree", "Curso Técnico", H131="Marketing", "Marketing", H131="Human Resources", "Recursos Humanos")</f>
        <v>Médico</v>
      </c>
      <c r="AL131" t="str" cm="1">
        <f t="array" ref="AL1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" spans="1:38" x14ac:dyDescent="0.25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IF(tbRh[[#This Row],[Gender]]="Female","Feminino","Masculino")</f>
        <v>Feminino</v>
      </c>
      <c r="AK132" t="str" cm="1">
        <f t="array" ref="AK132">_xlfn.IFS(H132="Life Sciences", "Ciências da Vida", H132="Other", "Outro", H132="Medical", "Médico", H132="Technical Degree", "Curso Técnico", H132="Marketing", "Marketing", H132="Human Resources", "Recursos Humanos")</f>
        <v>Médico</v>
      </c>
      <c r="AL132" t="str" cm="1">
        <f t="array" ref="AL1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" spans="1:38" x14ac:dyDescent="0.25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IF(tbRh[[#This Row],[Gender]]="Female","Feminino","Masculino")</f>
        <v>Feminino</v>
      </c>
      <c r="AK133" t="str" cm="1">
        <f t="array" ref="AK133">_xlfn.IFS(H133="Life Sciences", "Ciências da Vida", H133="Other", "Outro", H133="Medical", "Médico", H133="Technical Degree", "Curso Técnico", H133="Marketing", "Marketing", H133="Human Resources", "Recursos Humanos")</f>
        <v>Marketing</v>
      </c>
      <c r="AL133" t="str" cm="1">
        <f t="array" ref="AL13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4" spans="1:38" x14ac:dyDescent="0.25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IF(tbRh[[#This Row],[Gender]]="Female","Feminino","Masculino")</f>
        <v>Feminino</v>
      </c>
      <c r="AK134" t="str" cm="1">
        <f t="array" ref="AK134">_xlfn.IFS(H134="Life Sciences", "Ciências da Vida", H134="Other", "Outro", H134="Medical", "Médico", H134="Technical Degree", "Curso Técnico", H134="Marketing", "Marketing", H134="Human Resources", "Recursos Humanos")</f>
        <v>Ciências da Vida</v>
      </c>
      <c r="AL134" t="str" cm="1">
        <f t="array" ref="AL13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5" spans="1:38" x14ac:dyDescent="0.25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IF(tbRh[[#This Row],[Gender]]="Female","Feminino","Masculino")</f>
        <v>Masculino</v>
      </c>
      <c r="AK135" t="str" cm="1">
        <f t="array" ref="AK135">_xlfn.IFS(H135="Life Sciences", "Ciências da Vida", H135="Other", "Outro", H135="Medical", "Médico", H135="Technical Degree", "Curso Técnico", H135="Marketing", "Marketing", H135="Human Resources", "Recursos Humanos")</f>
        <v>Ciências da Vida</v>
      </c>
      <c r="AL135" t="str" cm="1">
        <f t="array" ref="AL1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" spans="1:38" x14ac:dyDescent="0.25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IF(tbRh[[#This Row],[Gender]]="Female","Feminino","Masculino")</f>
        <v>Feminino</v>
      </c>
      <c r="AK136" t="str" cm="1">
        <f t="array" ref="AK136">_xlfn.IFS(H136="Life Sciences", "Ciências da Vida", H136="Other", "Outro", H136="Medical", "Médico", H136="Technical Degree", "Curso Técnico", H136="Marketing", "Marketing", H136="Human Resources", "Recursos Humanos")</f>
        <v>Ciências da Vida</v>
      </c>
      <c r="AL136" t="str" cm="1">
        <f t="array" ref="AL136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7" spans="1:38" x14ac:dyDescent="0.25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IF(tbRh[[#This Row],[Gender]]="Female","Feminino","Masculino")</f>
        <v>Masculino</v>
      </c>
      <c r="AK137" t="str" cm="1">
        <f t="array" ref="AK137">_xlfn.IFS(H137="Life Sciences", "Ciências da Vida", H137="Other", "Outro", H137="Medical", "Médico", H137="Technical Degree", "Curso Técnico", H137="Marketing", "Marketing", H137="Human Resources", "Recursos Humanos")</f>
        <v>Médico</v>
      </c>
      <c r="AL137" t="str" cm="1">
        <f t="array" ref="AL1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8" spans="1:38" x14ac:dyDescent="0.25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IF(tbRh[[#This Row],[Gender]]="Female","Feminino","Masculino")</f>
        <v>Masculino</v>
      </c>
      <c r="AK138" t="str" cm="1">
        <f t="array" ref="AK138">_xlfn.IFS(H138="Life Sciences", "Ciências da Vida", H138="Other", "Outro", H138="Medical", "Médico", H138="Technical Degree", "Curso Técnico", H138="Marketing", "Marketing", H138="Human Resources", "Recursos Humanos")</f>
        <v>Ciências da Vida</v>
      </c>
      <c r="AL138" t="str" cm="1">
        <f t="array" ref="AL1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9" spans="1:38" x14ac:dyDescent="0.25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IF(tbRh[[#This Row],[Gender]]="Female","Feminino","Masculino")</f>
        <v>Feminino</v>
      </c>
      <c r="AK139" t="str" cm="1">
        <f t="array" ref="AK139">_xlfn.IFS(H139="Life Sciences", "Ciências da Vida", H139="Other", "Outro", H139="Medical", "Médico", H139="Technical Degree", "Curso Técnico", H139="Marketing", "Marketing", H139="Human Resources", "Recursos Humanos")</f>
        <v>Ciências da Vida</v>
      </c>
      <c r="AL139" t="str" cm="1">
        <f t="array" ref="AL13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0" spans="1:38" x14ac:dyDescent="0.25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IF(tbRh[[#This Row],[Gender]]="Female","Feminino","Masculino")</f>
        <v>Masculino</v>
      </c>
      <c r="AK140" t="str" cm="1">
        <f t="array" ref="AK140">_xlfn.IFS(H140="Life Sciences", "Ciências da Vida", H140="Other", "Outro", H140="Medical", "Médico", H140="Technical Degree", "Curso Técnico", H140="Marketing", "Marketing", H140="Human Resources", "Recursos Humanos")</f>
        <v>Ciências da Vida</v>
      </c>
      <c r="AL140" t="str" cm="1">
        <f t="array" ref="AL1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1" spans="1:38" x14ac:dyDescent="0.25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IF(tbRh[[#This Row],[Gender]]="Female","Feminino","Masculino")</f>
        <v>Masculino</v>
      </c>
      <c r="AK141" t="str" cm="1">
        <f t="array" ref="AK141">_xlfn.IFS(H141="Life Sciences", "Ciências da Vida", H141="Other", "Outro", H141="Medical", "Médico", H141="Technical Degree", "Curso Técnico", H141="Marketing", "Marketing", H141="Human Resources", "Recursos Humanos")</f>
        <v>Recursos Humanos</v>
      </c>
      <c r="AL141" t="str" cm="1">
        <f t="array" ref="AL14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42" spans="1:38" x14ac:dyDescent="0.25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IF(tbRh[[#This Row],[Gender]]="Female","Feminino","Masculino")</f>
        <v>Feminino</v>
      </c>
      <c r="AK142" t="str" cm="1">
        <f t="array" ref="AK142">_xlfn.IFS(H142="Life Sciences", "Ciências da Vida", H142="Other", "Outro", H142="Medical", "Médico", H142="Technical Degree", "Curso Técnico", H142="Marketing", "Marketing", H142="Human Resources", "Recursos Humanos")</f>
        <v>Médico</v>
      </c>
      <c r="AL142" t="str" cm="1">
        <f t="array" ref="AL1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3" spans="1:38" x14ac:dyDescent="0.25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IF(tbRh[[#This Row],[Gender]]="Female","Feminino","Masculino")</f>
        <v>Masculino</v>
      </c>
      <c r="AK143" t="str" cm="1">
        <f t="array" ref="AK143">_xlfn.IFS(H143="Life Sciences", "Ciências da Vida", H143="Other", "Outro", H143="Medical", "Médico", H143="Technical Degree", "Curso Técnico", H143="Marketing", "Marketing", H143="Human Resources", "Recursos Humanos")</f>
        <v>Médico</v>
      </c>
      <c r="AL143" t="str" cm="1">
        <f t="array" ref="AL1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" spans="1:38" x14ac:dyDescent="0.25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IF(tbRh[[#This Row],[Gender]]="Female","Feminino","Masculino")</f>
        <v>Feminino</v>
      </c>
      <c r="AK144" t="str" cm="1">
        <f t="array" ref="AK144">_xlfn.IFS(H144="Life Sciences", "Ciências da Vida", H144="Other", "Outro", H144="Medical", "Médico", H144="Technical Degree", "Curso Técnico", H144="Marketing", "Marketing", H144="Human Resources", "Recursos Humanos")</f>
        <v>Curso Técnico</v>
      </c>
      <c r="AL144" t="str" cm="1">
        <f t="array" ref="AL1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5" spans="1:38" x14ac:dyDescent="0.25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IF(tbRh[[#This Row],[Gender]]="Female","Feminino","Masculino")</f>
        <v>Feminino</v>
      </c>
      <c r="AK145" t="str" cm="1">
        <f t="array" ref="AK145">_xlfn.IFS(H145="Life Sciences", "Ciências da Vida", H145="Other", "Outro", H145="Medical", "Médico", H145="Technical Degree", "Curso Técnico", H145="Marketing", "Marketing", H145="Human Resources", "Recursos Humanos")</f>
        <v>Ciências da Vida</v>
      </c>
      <c r="AL145" t="str" cm="1">
        <f t="array" ref="AL1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" spans="1:38" x14ac:dyDescent="0.25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IF(tbRh[[#This Row],[Gender]]="Female","Feminino","Masculino")</f>
        <v>Masculino</v>
      </c>
      <c r="AK146" t="str" cm="1">
        <f t="array" ref="AK146">_xlfn.IFS(H146="Life Sciences", "Ciências da Vida", H146="Other", "Outro", H146="Medical", "Médico", H146="Technical Degree", "Curso Técnico", H146="Marketing", "Marketing", H146="Human Resources", "Recursos Humanos")</f>
        <v>Médico</v>
      </c>
      <c r="AL146" t="str" cm="1">
        <f t="array" ref="AL14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7" spans="1:38" x14ac:dyDescent="0.25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IF(tbRh[[#This Row],[Gender]]="Female","Feminino","Masculino")</f>
        <v>Feminino</v>
      </c>
      <c r="AK147" t="str" cm="1">
        <f t="array" ref="AK147">_xlfn.IFS(H147="Life Sciences", "Ciências da Vida", H147="Other", "Outro", H147="Medical", "Médico", H147="Technical Degree", "Curso Técnico", H147="Marketing", "Marketing", H147="Human Resources", "Recursos Humanos")</f>
        <v>Curso Técnico</v>
      </c>
      <c r="AL147" t="str" cm="1">
        <f t="array" ref="AL1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8" spans="1:38" x14ac:dyDescent="0.25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IF(tbRh[[#This Row],[Gender]]="Female","Feminino","Masculino")</f>
        <v>Masculino</v>
      </c>
      <c r="AK148" t="str" cm="1">
        <f t="array" ref="AK148">_xlfn.IFS(H148="Life Sciences", "Ciências da Vida", H148="Other", "Outro", H148="Medical", "Médico", H148="Technical Degree", "Curso Técnico", H148="Marketing", "Marketing", H148="Human Resources", "Recursos Humanos")</f>
        <v>Médico</v>
      </c>
      <c r="AL148" t="str" cm="1">
        <f t="array" ref="AL1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9" spans="1:38" x14ac:dyDescent="0.25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IF(tbRh[[#This Row],[Gender]]="Female","Feminino","Masculino")</f>
        <v>Masculino</v>
      </c>
      <c r="AK149" t="str" cm="1">
        <f t="array" ref="AK149">_xlfn.IFS(H149="Life Sciences", "Ciências da Vida", H149="Other", "Outro", H149="Medical", "Médico", H149="Technical Degree", "Curso Técnico", H149="Marketing", "Marketing", H149="Human Resources", "Recursos Humanos")</f>
        <v>Ciências da Vida</v>
      </c>
      <c r="AL149" t="str" cm="1">
        <f t="array" ref="AL1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0" spans="1:38" x14ac:dyDescent="0.25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IF(tbRh[[#This Row],[Gender]]="Female","Feminino","Masculino")</f>
        <v>Masculino</v>
      </c>
      <c r="AK150" t="str" cm="1">
        <f t="array" ref="AK150">_xlfn.IFS(H150="Life Sciences", "Ciências da Vida", H150="Other", "Outro", H150="Medical", "Médico", H150="Technical Degree", "Curso Técnico", H150="Marketing", "Marketing", H150="Human Resources", "Recursos Humanos")</f>
        <v>Ciências da Vida</v>
      </c>
      <c r="AL150" t="str" cm="1">
        <f t="array" ref="AL1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1" spans="1:38" x14ac:dyDescent="0.25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IF(tbRh[[#This Row],[Gender]]="Female","Feminino","Masculino")</f>
        <v>Feminino</v>
      </c>
      <c r="AK151" t="str" cm="1">
        <f t="array" ref="AK151">_xlfn.IFS(H151="Life Sciences", "Ciências da Vida", H151="Other", "Outro", H151="Medical", "Médico", H151="Technical Degree", "Curso Técnico", H151="Marketing", "Marketing", H151="Human Resources", "Recursos Humanos")</f>
        <v>Médico</v>
      </c>
      <c r="AL151" t="str" cm="1">
        <f t="array" ref="AL1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2" spans="1:38" x14ac:dyDescent="0.25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IF(tbRh[[#This Row],[Gender]]="Female","Feminino","Masculino")</f>
        <v>Feminino</v>
      </c>
      <c r="AK152" t="str" cm="1">
        <f t="array" ref="AK152">_xlfn.IFS(H152="Life Sciences", "Ciências da Vida", H152="Other", "Outro", H152="Medical", "Médico", H152="Technical Degree", "Curso Técnico", H152="Marketing", "Marketing", H152="Human Resources", "Recursos Humanos")</f>
        <v>Médico</v>
      </c>
      <c r="AL152" t="str" cm="1">
        <f t="array" ref="AL1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3" spans="1:38" x14ac:dyDescent="0.25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IF(tbRh[[#This Row],[Gender]]="Female","Feminino","Masculino")</f>
        <v>Masculino</v>
      </c>
      <c r="AK153" t="str" cm="1">
        <f t="array" ref="AK153">_xlfn.IFS(H153="Life Sciences", "Ciências da Vida", H153="Other", "Outro", H153="Medical", "Médico", H153="Technical Degree", "Curso Técnico", H153="Marketing", "Marketing", H153="Human Resources", "Recursos Humanos")</f>
        <v>Marketing</v>
      </c>
      <c r="AL153" t="str" cm="1">
        <f t="array" ref="AL1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54" spans="1:38" x14ac:dyDescent="0.25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IF(tbRh[[#This Row],[Gender]]="Female","Feminino","Masculino")</f>
        <v>Masculino</v>
      </c>
      <c r="AK154" t="str" cm="1">
        <f t="array" ref="AK154">_xlfn.IFS(H154="Life Sciences", "Ciências da Vida", H154="Other", "Outro", H154="Medical", "Médico", H154="Technical Degree", "Curso Técnico", H154="Marketing", "Marketing", H154="Human Resources", "Recursos Humanos")</f>
        <v>Marketing</v>
      </c>
      <c r="AL154" t="str" cm="1">
        <f t="array" ref="AL1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55" spans="1:38" x14ac:dyDescent="0.25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IF(tbRh[[#This Row],[Gender]]="Female","Feminino","Masculino")</f>
        <v>Masculino</v>
      </c>
      <c r="AK155" t="str" cm="1">
        <f t="array" ref="AK155">_xlfn.IFS(H155="Life Sciences", "Ciências da Vida", H155="Other", "Outro", H155="Medical", "Médico", H155="Technical Degree", "Curso Técnico", H155="Marketing", "Marketing", H155="Human Resources", "Recursos Humanos")</f>
        <v>Ciências da Vida</v>
      </c>
      <c r="AL155" t="str" cm="1">
        <f t="array" ref="AL1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6" spans="1:38" x14ac:dyDescent="0.25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IF(tbRh[[#This Row],[Gender]]="Female","Feminino","Masculino")</f>
        <v>Feminino</v>
      </c>
      <c r="AK156" t="str" cm="1">
        <f t="array" ref="AK156">_xlfn.IFS(H156="Life Sciences", "Ciências da Vida", H156="Other", "Outro", H156="Medical", "Médico", H156="Technical Degree", "Curso Técnico", H156="Marketing", "Marketing", H156="Human Resources", "Recursos Humanos")</f>
        <v>Marketing</v>
      </c>
      <c r="AL156" t="str" cm="1">
        <f t="array" ref="AL1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57" spans="1:38" x14ac:dyDescent="0.25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IF(tbRh[[#This Row],[Gender]]="Female","Feminino","Masculino")</f>
        <v>Masculino</v>
      </c>
      <c r="AK157" t="str" cm="1">
        <f t="array" ref="AK157">_xlfn.IFS(H157="Life Sciences", "Ciências da Vida", H157="Other", "Outro", H157="Medical", "Médico", H157="Technical Degree", "Curso Técnico", H157="Marketing", "Marketing", H157="Human Resources", "Recursos Humanos")</f>
        <v>Curso Técnico</v>
      </c>
      <c r="AL157" t="str" cm="1">
        <f t="array" ref="AL1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8" spans="1:38" x14ac:dyDescent="0.25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IF(tbRh[[#This Row],[Gender]]="Female","Feminino","Masculino")</f>
        <v>Masculino</v>
      </c>
      <c r="AK158" t="str" cm="1">
        <f t="array" ref="AK158">_xlfn.IFS(H158="Life Sciences", "Ciências da Vida", H158="Other", "Outro", H158="Medical", "Médico", H158="Technical Degree", "Curso Técnico", H158="Marketing", "Marketing", H158="Human Resources", "Recursos Humanos")</f>
        <v>Médico</v>
      </c>
      <c r="AL158" t="str" cm="1">
        <f t="array" ref="AL1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59" spans="1:38" x14ac:dyDescent="0.25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IF(tbRh[[#This Row],[Gender]]="Female","Feminino","Masculino")</f>
        <v>Feminino</v>
      </c>
      <c r="AK159" t="str" cm="1">
        <f t="array" ref="AK159">_xlfn.IFS(H159="Life Sciences", "Ciências da Vida", H159="Other", "Outro", H159="Medical", "Médico", H159="Technical Degree", "Curso Técnico", H159="Marketing", "Marketing", H159="Human Resources", "Recursos Humanos")</f>
        <v>Médico</v>
      </c>
      <c r="AL159" t="str" cm="1">
        <f t="array" ref="AL1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0" spans="1:38" x14ac:dyDescent="0.25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IF(tbRh[[#This Row],[Gender]]="Female","Feminino","Masculino")</f>
        <v>Masculino</v>
      </c>
      <c r="AK160" t="str" cm="1">
        <f t="array" ref="AK160">_xlfn.IFS(H160="Life Sciences", "Ciências da Vida", H160="Other", "Outro", H160="Medical", "Médico", H160="Technical Degree", "Curso Técnico", H160="Marketing", "Marketing", H160="Human Resources", "Recursos Humanos")</f>
        <v>Marketing</v>
      </c>
      <c r="AL160" t="str" cm="1">
        <f t="array" ref="AL16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61" spans="1:38" x14ac:dyDescent="0.25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IF(tbRh[[#This Row],[Gender]]="Female","Feminino","Masculino")</f>
        <v>Feminino</v>
      </c>
      <c r="AK161" t="str" cm="1">
        <f t="array" ref="AK161">_xlfn.IFS(H161="Life Sciences", "Ciências da Vida", H161="Other", "Outro", H161="Medical", "Médico", H161="Technical Degree", "Curso Técnico", H161="Marketing", "Marketing", H161="Human Resources", "Recursos Humanos")</f>
        <v>Marketing</v>
      </c>
      <c r="AL161" t="str" cm="1">
        <f t="array" ref="AL16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62" spans="1:38" x14ac:dyDescent="0.25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IF(tbRh[[#This Row],[Gender]]="Female","Feminino","Masculino")</f>
        <v>Masculino</v>
      </c>
      <c r="AK162" t="str" cm="1">
        <f t="array" ref="AK162">_xlfn.IFS(H162="Life Sciences", "Ciências da Vida", H162="Other", "Outro", H162="Medical", "Médico", H162="Technical Degree", "Curso Técnico", H162="Marketing", "Marketing", H162="Human Resources", "Recursos Humanos")</f>
        <v>Médico</v>
      </c>
      <c r="AL162" t="str" cm="1">
        <f t="array" ref="AL1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3" spans="1:38" x14ac:dyDescent="0.25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IF(tbRh[[#This Row],[Gender]]="Female","Feminino","Masculino")</f>
        <v>Masculino</v>
      </c>
      <c r="AK163" t="str" cm="1">
        <f t="array" ref="AK163">_xlfn.IFS(H163="Life Sciences", "Ciências da Vida", H163="Other", "Outro", H163="Medical", "Médico", H163="Technical Degree", "Curso Técnico", H163="Marketing", "Marketing", H163="Human Resources", "Recursos Humanos")</f>
        <v>Médico</v>
      </c>
      <c r="AL163" t="str" cm="1">
        <f t="array" ref="AL1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4" spans="1:38" x14ac:dyDescent="0.25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IF(tbRh[[#This Row],[Gender]]="Female","Feminino","Masculino")</f>
        <v>Masculino</v>
      </c>
      <c r="AK164" t="str" cm="1">
        <f t="array" ref="AK164">_xlfn.IFS(H164="Life Sciences", "Ciências da Vida", H164="Other", "Outro", H164="Medical", "Médico", H164="Technical Degree", "Curso Técnico", H164="Marketing", "Marketing", H164="Human Resources", "Recursos Humanos")</f>
        <v>Médico</v>
      </c>
      <c r="AL164" t="str" cm="1">
        <f t="array" ref="AL1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5" spans="1:38" x14ac:dyDescent="0.25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IF(tbRh[[#This Row],[Gender]]="Female","Feminino","Masculino")</f>
        <v>Masculino</v>
      </c>
      <c r="AK165" t="str" cm="1">
        <f t="array" ref="AK165">_xlfn.IFS(H165="Life Sciences", "Ciências da Vida", H165="Other", "Outro", H165="Medical", "Médico", H165="Technical Degree", "Curso Técnico", H165="Marketing", "Marketing", H165="Human Resources", "Recursos Humanos")</f>
        <v>Ciências da Vida</v>
      </c>
      <c r="AL165" t="str" cm="1">
        <f t="array" ref="AL16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6" spans="1:38" x14ac:dyDescent="0.25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IF(tbRh[[#This Row],[Gender]]="Female","Feminino","Masculino")</f>
        <v>Masculino</v>
      </c>
      <c r="AK166" t="str" cm="1">
        <f t="array" ref="AK166">_xlfn.IFS(H166="Life Sciences", "Ciências da Vida", H166="Other", "Outro", H166="Medical", "Médico", H166="Technical Degree", "Curso Técnico", H166="Marketing", "Marketing", H166="Human Resources", "Recursos Humanos")</f>
        <v>Médico</v>
      </c>
      <c r="AL166" t="str" cm="1">
        <f t="array" ref="AL1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7" spans="1:38" x14ac:dyDescent="0.25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IF(tbRh[[#This Row],[Gender]]="Female","Feminino","Masculino")</f>
        <v>Feminino</v>
      </c>
      <c r="AK167" t="str" cm="1">
        <f t="array" ref="AK167">_xlfn.IFS(H167="Life Sciences", "Ciências da Vida", H167="Other", "Outro", H167="Medical", "Médico", H167="Technical Degree", "Curso Técnico", H167="Marketing", "Marketing", H167="Human Resources", "Recursos Humanos")</f>
        <v>Ciências da Vida</v>
      </c>
      <c r="AL167" t="str" cm="1">
        <f t="array" ref="AL1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8" spans="1:38" x14ac:dyDescent="0.25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IF(tbRh[[#This Row],[Gender]]="Female","Feminino","Masculino")</f>
        <v>Masculino</v>
      </c>
      <c r="AK168" t="str" cm="1">
        <f t="array" ref="AK168">_xlfn.IFS(H168="Life Sciences", "Ciências da Vida", H168="Other", "Outro", H168="Medical", "Médico", H168="Technical Degree", "Curso Técnico", H168="Marketing", "Marketing", H168="Human Resources", "Recursos Humanos")</f>
        <v>Ciências da Vida</v>
      </c>
      <c r="AL168" t="str" cm="1">
        <f t="array" ref="AL1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69" spans="1:38" x14ac:dyDescent="0.25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IF(tbRh[[#This Row],[Gender]]="Female","Feminino","Masculino")</f>
        <v>Feminino</v>
      </c>
      <c r="AK169" t="str" cm="1">
        <f t="array" ref="AK169">_xlfn.IFS(H169="Life Sciences", "Ciências da Vida", H169="Other", "Outro", H169="Medical", "Médico", H169="Technical Degree", "Curso Técnico", H169="Marketing", "Marketing", H169="Human Resources", "Recursos Humanos")</f>
        <v>Ciências da Vida</v>
      </c>
      <c r="AL169" t="str" cm="1">
        <f t="array" ref="AL16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70" spans="1:38" x14ac:dyDescent="0.25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IF(tbRh[[#This Row],[Gender]]="Female","Feminino","Masculino")</f>
        <v>Feminino</v>
      </c>
      <c r="AK170" t="str" cm="1">
        <f t="array" ref="AK170">_xlfn.IFS(H170="Life Sciences", "Ciências da Vida", H170="Other", "Outro", H170="Medical", "Médico", H170="Technical Degree", "Curso Técnico", H170="Marketing", "Marketing", H170="Human Resources", "Recursos Humanos")</f>
        <v>Ciências da Vida</v>
      </c>
      <c r="AL170" t="str" cm="1">
        <f t="array" ref="AL17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71" spans="1:38" x14ac:dyDescent="0.25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IF(tbRh[[#This Row],[Gender]]="Female","Feminino","Masculino")</f>
        <v>Masculino</v>
      </c>
      <c r="AK171" t="str" cm="1">
        <f t="array" ref="AK171">_xlfn.IFS(H171="Life Sciences", "Ciências da Vida", H171="Other", "Outro", H171="Medical", "Médico", H171="Technical Degree", "Curso Técnico", H171="Marketing", "Marketing", H171="Human Resources", "Recursos Humanos")</f>
        <v>Ciências da Vida</v>
      </c>
      <c r="AL171" t="str" cm="1">
        <f t="array" ref="AL1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2" spans="1:38" x14ac:dyDescent="0.25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IF(tbRh[[#This Row],[Gender]]="Female","Feminino","Masculino")</f>
        <v>Masculino</v>
      </c>
      <c r="AK172" t="str" cm="1">
        <f t="array" ref="AK172">_xlfn.IFS(H172="Life Sciences", "Ciências da Vida", H172="Other", "Outro", H172="Medical", "Médico", H172="Technical Degree", "Curso Técnico", H172="Marketing", "Marketing", H172="Human Resources", "Recursos Humanos")</f>
        <v>Curso Técnico</v>
      </c>
      <c r="AL172" t="str" cm="1">
        <f t="array" ref="AL1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3" spans="1:38" x14ac:dyDescent="0.25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IF(tbRh[[#This Row],[Gender]]="Female","Feminino","Masculino")</f>
        <v>Feminino</v>
      </c>
      <c r="AK173" t="str" cm="1">
        <f t="array" ref="AK173">_xlfn.IFS(H173="Life Sciences", "Ciências da Vida", H173="Other", "Outro", H173="Medical", "Médico", H173="Technical Degree", "Curso Técnico", H173="Marketing", "Marketing", H173="Human Resources", "Recursos Humanos")</f>
        <v>Curso Técnico</v>
      </c>
      <c r="AL173" t="str" cm="1">
        <f t="array" ref="AL17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74" spans="1:38" x14ac:dyDescent="0.25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IF(tbRh[[#This Row],[Gender]]="Female","Feminino","Masculino")</f>
        <v>Masculino</v>
      </c>
      <c r="AK174" t="str" cm="1">
        <f t="array" ref="AK174">_xlfn.IFS(H174="Life Sciences", "Ciências da Vida", H174="Other", "Outro", H174="Medical", "Médico", H174="Technical Degree", "Curso Técnico", H174="Marketing", "Marketing", H174="Human Resources", "Recursos Humanos")</f>
        <v>Médico</v>
      </c>
      <c r="AL174" t="str" cm="1">
        <f t="array" ref="AL1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5" spans="1:38" x14ac:dyDescent="0.25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IF(tbRh[[#This Row],[Gender]]="Female","Feminino","Masculino")</f>
        <v>Masculino</v>
      </c>
      <c r="AK175" t="str" cm="1">
        <f t="array" ref="AK175">_xlfn.IFS(H175="Life Sciences", "Ciências da Vida", H175="Other", "Outro", H175="Medical", "Médico", H175="Technical Degree", "Curso Técnico", H175="Marketing", "Marketing", H175="Human Resources", "Recursos Humanos")</f>
        <v>Médico</v>
      </c>
      <c r="AL175" t="str" cm="1">
        <f t="array" ref="AL1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6" spans="1:38" x14ac:dyDescent="0.25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IF(tbRh[[#This Row],[Gender]]="Female","Feminino","Masculino")</f>
        <v>Feminino</v>
      </c>
      <c r="AK176" t="str" cm="1">
        <f t="array" ref="AK176">_xlfn.IFS(H176="Life Sciences", "Ciências da Vida", H176="Other", "Outro", H176="Medical", "Médico", H176="Technical Degree", "Curso Técnico", H176="Marketing", "Marketing", H176="Human Resources", "Recursos Humanos")</f>
        <v>Ciências da Vida</v>
      </c>
      <c r="AL176" t="str" cm="1">
        <f t="array" ref="AL17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77" spans="1:38" x14ac:dyDescent="0.25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IF(tbRh[[#This Row],[Gender]]="Female","Feminino","Masculino")</f>
        <v>Feminino</v>
      </c>
      <c r="AK177" t="str" cm="1">
        <f t="array" ref="AK177">_xlfn.IFS(H177="Life Sciences", "Ciências da Vida", H177="Other", "Outro", H177="Medical", "Médico", H177="Technical Degree", "Curso Técnico", H177="Marketing", "Marketing", H177="Human Resources", "Recursos Humanos")</f>
        <v>Ciências da Vida</v>
      </c>
      <c r="AL177" t="str" cm="1">
        <f t="array" ref="AL1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8" spans="1:38" x14ac:dyDescent="0.25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IF(tbRh[[#This Row],[Gender]]="Female","Feminino","Masculino")</f>
        <v>Masculino</v>
      </c>
      <c r="AK178" t="str" cm="1">
        <f t="array" ref="AK178">_xlfn.IFS(H178="Life Sciences", "Ciências da Vida", H178="Other", "Outro", H178="Medical", "Médico", H178="Technical Degree", "Curso Técnico", H178="Marketing", "Marketing", H178="Human Resources", "Recursos Humanos")</f>
        <v>Ciências da Vida</v>
      </c>
      <c r="AL178" t="str" cm="1">
        <f t="array" ref="AL1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79" spans="1:38" x14ac:dyDescent="0.25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IF(tbRh[[#This Row],[Gender]]="Female","Feminino","Masculino")</f>
        <v>Masculino</v>
      </c>
      <c r="AK179" t="str" cm="1">
        <f t="array" ref="AK179">_xlfn.IFS(H179="Life Sciences", "Ciências da Vida", H179="Other", "Outro", H179="Medical", "Médico", H179="Technical Degree", "Curso Técnico", H179="Marketing", "Marketing", H179="Human Resources", "Recursos Humanos")</f>
        <v>Ciências da Vida</v>
      </c>
      <c r="AL179" t="str" cm="1">
        <f t="array" ref="AL1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0" spans="1:38" x14ac:dyDescent="0.25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IF(tbRh[[#This Row],[Gender]]="Female","Feminino","Masculino")</f>
        <v>Feminino</v>
      </c>
      <c r="AK180" t="str" cm="1">
        <f t="array" ref="AK180">_xlfn.IFS(H180="Life Sciences", "Ciências da Vida", H180="Other", "Outro", H180="Medical", "Médico", H180="Technical Degree", "Curso Técnico", H180="Marketing", "Marketing", H180="Human Resources", "Recursos Humanos")</f>
        <v>Marketing</v>
      </c>
      <c r="AL180" t="str" cm="1">
        <f t="array" ref="AL18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81" spans="1:38" x14ac:dyDescent="0.25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IF(tbRh[[#This Row],[Gender]]="Female","Feminino","Masculino")</f>
        <v>Feminino</v>
      </c>
      <c r="AK181" t="str" cm="1">
        <f t="array" ref="AK181">_xlfn.IFS(H181="Life Sciences", "Ciências da Vida", H181="Other", "Outro", H181="Medical", "Médico", H181="Technical Degree", "Curso Técnico", H181="Marketing", "Marketing", H181="Human Resources", "Recursos Humanos")</f>
        <v>Ciências da Vida</v>
      </c>
      <c r="AL181" t="str" cm="1">
        <f t="array" ref="AL1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2" spans="1:38" x14ac:dyDescent="0.25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IF(tbRh[[#This Row],[Gender]]="Female","Feminino","Masculino")</f>
        <v>Feminino</v>
      </c>
      <c r="AK182" t="str" cm="1">
        <f t="array" ref="AK182">_xlfn.IFS(H182="Life Sciences", "Ciências da Vida", H182="Other", "Outro", H182="Medical", "Médico", H182="Technical Degree", "Curso Técnico", H182="Marketing", "Marketing", H182="Human Resources", "Recursos Humanos")</f>
        <v>Médico</v>
      </c>
      <c r="AL182" t="str" cm="1">
        <f t="array" ref="AL1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3" spans="1:38" x14ac:dyDescent="0.25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IF(tbRh[[#This Row],[Gender]]="Female","Feminino","Masculino")</f>
        <v>Feminino</v>
      </c>
      <c r="AK183" t="str" cm="1">
        <f t="array" ref="AK183">_xlfn.IFS(H183="Life Sciences", "Ciências da Vida", H183="Other", "Outro", H183="Medical", "Médico", H183="Technical Degree", "Curso Técnico", H183="Marketing", "Marketing", H183="Human Resources", "Recursos Humanos")</f>
        <v>Médico</v>
      </c>
      <c r="AL183" t="str" cm="1">
        <f t="array" ref="AL1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4" spans="1:38" x14ac:dyDescent="0.25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IF(tbRh[[#This Row],[Gender]]="Female","Feminino","Masculino")</f>
        <v>Feminino</v>
      </c>
      <c r="AK184" t="str" cm="1">
        <f t="array" ref="AK184">_xlfn.IFS(H184="Life Sciences", "Ciências da Vida", H184="Other", "Outro", H184="Medical", "Médico", H184="Technical Degree", "Curso Técnico", H184="Marketing", "Marketing", H184="Human Resources", "Recursos Humanos")</f>
        <v>Marketing</v>
      </c>
      <c r="AL184" t="str" cm="1">
        <f t="array" ref="AL18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85" spans="1:38" x14ac:dyDescent="0.25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IF(tbRh[[#This Row],[Gender]]="Female","Feminino","Masculino")</f>
        <v>Masculino</v>
      </c>
      <c r="AK185" t="str" cm="1">
        <f t="array" ref="AK185">_xlfn.IFS(H185="Life Sciences", "Ciências da Vida", H185="Other", "Outro", H185="Medical", "Médico", H185="Technical Degree", "Curso Técnico", H185="Marketing", "Marketing", H185="Human Resources", "Recursos Humanos")</f>
        <v>Médico</v>
      </c>
      <c r="AL185" t="str" cm="1">
        <f t="array" ref="AL1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6" spans="1:38" x14ac:dyDescent="0.25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IF(tbRh[[#This Row],[Gender]]="Female","Feminino","Masculino")</f>
        <v>Feminino</v>
      </c>
      <c r="AK186" t="str" cm="1">
        <f t="array" ref="AK186">_xlfn.IFS(H186="Life Sciences", "Ciências da Vida", H186="Other", "Outro", H186="Medical", "Médico", H186="Technical Degree", "Curso Técnico", H186="Marketing", "Marketing", H186="Human Resources", "Recursos Humanos")</f>
        <v>Médico</v>
      </c>
      <c r="AL186" t="str" cm="1">
        <f t="array" ref="AL1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7" spans="1:38" x14ac:dyDescent="0.25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IF(tbRh[[#This Row],[Gender]]="Female","Feminino","Masculino")</f>
        <v>Feminino</v>
      </c>
      <c r="AK187" t="str" cm="1">
        <f t="array" ref="AK187">_xlfn.IFS(H187="Life Sciences", "Ciências da Vida", H187="Other", "Outro", H187="Medical", "Médico", H187="Technical Degree", "Curso Técnico", H187="Marketing", "Marketing", H187="Human Resources", "Recursos Humanos")</f>
        <v>Médico</v>
      </c>
      <c r="AL187" t="str" cm="1">
        <f t="array" ref="AL1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8" spans="1:38" x14ac:dyDescent="0.25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IF(tbRh[[#This Row],[Gender]]="Female","Feminino","Masculino")</f>
        <v>Feminino</v>
      </c>
      <c r="AK188" t="str" cm="1">
        <f t="array" ref="AK188">_xlfn.IFS(H188="Life Sciences", "Ciências da Vida", H188="Other", "Outro", H188="Medical", "Médico", H188="Technical Degree", "Curso Técnico", H188="Marketing", "Marketing", H188="Human Resources", "Recursos Humanos")</f>
        <v>Médico</v>
      </c>
      <c r="AL188" t="str" cm="1">
        <f t="array" ref="AL1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89" spans="1:38" x14ac:dyDescent="0.25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IF(tbRh[[#This Row],[Gender]]="Female","Feminino","Masculino")</f>
        <v>Masculino</v>
      </c>
      <c r="AK189" t="str" cm="1">
        <f t="array" ref="AK189">_xlfn.IFS(H189="Life Sciences", "Ciências da Vida", H189="Other", "Outro", H189="Medical", "Médico", H189="Technical Degree", "Curso Técnico", H189="Marketing", "Marketing", H189="Human Resources", "Recursos Humanos")</f>
        <v>Médico</v>
      </c>
      <c r="AL189" t="str" cm="1">
        <f t="array" ref="AL1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0" spans="1:38" x14ac:dyDescent="0.25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IF(tbRh[[#This Row],[Gender]]="Female","Feminino","Masculino")</f>
        <v>Masculino</v>
      </c>
      <c r="AK190" t="str" cm="1">
        <f t="array" ref="AK190">_xlfn.IFS(H190="Life Sciences", "Ciências da Vida", H190="Other", "Outro", H190="Medical", "Médico", H190="Technical Degree", "Curso Técnico", H190="Marketing", "Marketing", H190="Human Resources", "Recursos Humanos")</f>
        <v>Ciências da Vida</v>
      </c>
      <c r="AL190" t="str" cm="1">
        <f t="array" ref="AL1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1" spans="1:38" x14ac:dyDescent="0.25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IF(tbRh[[#This Row],[Gender]]="Female","Feminino","Masculino")</f>
        <v>Feminino</v>
      </c>
      <c r="AK191" t="str" cm="1">
        <f t="array" ref="AK191">_xlfn.IFS(H191="Life Sciences", "Ciências da Vida", H191="Other", "Outro", H191="Medical", "Médico", H191="Technical Degree", "Curso Técnico", H191="Marketing", "Marketing", H191="Human Resources", "Recursos Humanos")</f>
        <v>Médico</v>
      </c>
      <c r="AL191" t="str" cm="1">
        <f t="array" ref="AL1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2" spans="1:38" x14ac:dyDescent="0.25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IF(tbRh[[#This Row],[Gender]]="Female","Feminino","Masculino")</f>
        <v>Masculino</v>
      </c>
      <c r="AK192" t="str" cm="1">
        <f t="array" ref="AK192">_xlfn.IFS(H192="Life Sciences", "Ciências da Vida", H192="Other", "Outro", H192="Medical", "Médico", H192="Technical Degree", "Curso Técnico", H192="Marketing", "Marketing", H192="Human Resources", "Recursos Humanos")</f>
        <v>Ciências da Vida</v>
      </c>
      <c r="AL192" t="str" cm="1">
        <f t="array" ref="AL1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3" spans="1:38" x14ac:dyDescent="0.25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IF(tbRh[[#This Row],[Gender]]="Female","Feminino","Masculino")</f>
        <v>Feminino</v>
      </c>
      <c r="AK193" t="str" cm="1">
        <f t="array" ref="AK193">_xlfn.IFS(H193="Life Sciences", "Ciências da Vida", H193="Other", "Outro", H193="Medical", "Médico", H193="Technical Degree", "Curso Técnico", H193="Marketing", "Marketing", H193="Human Resources", "Recursos Humanos")</f>
        <v>Médico</v>
      </c>
      <c r="AL193" t="str" cm="1">
        <f t="array" ref="AL1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4" spans="1:38" x14ac:dyDescent="0.25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IF(tbRh[[#This Row],[Gender]]="Female","Feminino","Masculino")</f>
        <v>Masculino</v>
      </c>
      <c r="AK194" t="str" cm="1">
        <f t="array" ref="AK194">_xlfn.IFS(H194="Life Sciences", "Ciências da Vida", H194="Other", "Outro", H194="Medical", "Médico", H194="Technical Degree", "Curso Técnico", H194="Marketing", "Marketing", H194="Human Resources", "Recursos Humanos")</f>
        <v>Ciências da Vida</v>
      </c>
      <c r="AL194" t="str" cm="1">
        <f t="array" ref="AL1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5" spans="1:38" x14ac:dyDescent="0.25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IF(tbRh[[#This Row],[Gender]]="Female","Feminino","Masculino")</f>
        <v>Masculino</v>
      </c>
      <c r="AK195" t="str" cm="1">
        <f t="array" ref="AK195">_xlfn.IFS(H195="Life Sciences", "Ciências da Vida", H195="Other", "Outro", H195="Medical", "Médico", H195="Technical Degree", "Curso Técnico", H195="Marketing", "Marketing", H195="Human Resources", "Recursos Humanos")</f>
        <v>Médico</v>
      </c>
      <c r="AL195" t="str" cm="1">
        <f t="array" ref="AL1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6" spans="1:38" x14ac:dyDescent="0.25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IF(tbRh[[#This Row],[Gender]]="Female","Feminino","Masculino")</f>
        <v>Masculino</v>
      </c>
      <c r="AK196" t="str" cm="1">
        <f t="array" ref="AK196">_xlfn.IFS(H196="Life Sciences", "Ciências da Vida", H196="Other", "Outro", H196="Medical", "Médico", H196="Technical Degree", "Curso Técnico", H196="Marketing", "Marketing", H196="Human Resources", "Recursos Humanos")</f>
        <v>Médico</v>
      </c>
      <c r="AL196" t="str" cm="1">
        <f t="array" ref="AL1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7" spans="1:38" x14ac:dyDescent="0.25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IF(tbRh[[#This Row],[Gender]]="Female","Feminino","Masculino")</f>
        <v>Masculino</v>
      </c>
      <c r="AK197" t="str" cm="1">
        <f t="array" ref="AK197">_xlfn.IFS(H197="Life Sciences", "Ciências da Vida", H197="Other", "Outro", H197="Medical", "Médico", H197="Technical Degree", "Curso Técnico", H197="Marketing", "Marketing", H197="Human Resources", "Recursos Humanos")</f>
        <v>Ciências da Vida</v>
      </c>
      <c r="AL197" t="str" cm="1">
        <f t="array" ref="AL1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8" spans="1:38" x14ac:dyDescent="0.25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IF(tbRh[[#This Row],[Gender]]="Female","Feminino","Masculino")</f>
        <v>Feminino</v>
      </c>
      <c r="AK198" t="str" cm="1">
        <f t="array" ref="AK198">_xlfn.IFS(H198="Life Sciences", "Ciências da Vida", H198="Other", "Outro", H198="Medical", "Médico", H198="Technical Degree", "Curso Técnico", H198="Marketing", "Marketing", H198="Human Resources", "Recursos Humanos")</f>
        <v>Médico</v>
      </c>
      <c r="AL198" t="str" cm="1">
        <f t="array" ref="AL1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99" spans="1:38" x14ac:dyDescent="0.25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IF(tbRh[[#This Row],[Gender]]="Female","Feminino","Masculino")</f>
        <v>Feminino</v>
      </c>
      <c r="AK199" t="str" cm="1">
        <f t="array" ref="AK199">_xlfn.IFS(H199="Life Sciences", "Ciências da Vida", H199="Other", "Outro", H199="Medical", "Médico", H199="Technical Degree", "Curso Técnico", H199="Marketing", "Marketing", H199="Human Resources", "Recursos Humanos")</f>
        <v>Médico</v>
      </c>
      <c r="AL199" t="str" cm="1">
        <f t="array" ref="AL1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0" spans="1:38" x14ac:dyDescent="0.25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IF(tbRh[[#This Row],[Gender]]="Female","Feminino","Masculino")</f>
        <v>Masculino</v>
      </c>
      <c r="AK200" t="str" cm="1">
        <f t="array" ref="AK200">_xlfn.IFS(H200="Life Sciences", "Ciências da Vida", H200="Other", "Outro", H200="Medical", "Médico", H200="Technical Degree", "Curso Técnico", H200="Marketing", "Marketing", H200="Human Resources", "Recursos Humanos")</f>
        <v>Ciências da Vida</v>
      </c>
      <c r="AL200" t="str" cm="1">
        <f t="array" ref="AL2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1" spans="1:38" x14ac:dyDescent="0.25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IF(tbRh[[#This Row],[Gender]]="Female","Feminino","Masculino")</f>
        <v>Masculino</v>
      </c>
      <c r="AK201" t="str" cm="1">
        <f t="array" ref="AK201">_xlfn.IFS(H201="Life Sciences", "Ciências da Vida", H201="Other", "Outro", H201="Medical", "Médico", H201="Technical Degree", "Curso Técnico", H201="Marketing", "Marketing", H201="Human Resources", "Recursos Humanos")</f>
        <v>Curso Técnico</v>
      </c>
      <c r="AL201" t="str" cm="1">
        <f t="array" ref="AL2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2" spans="1:38" x14ac:dyDescent="0.25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IF(tbRh[[#This Row],[Gender]]="Female","Feminino","Masculino")</f>
        <v>Masculino</v>
      </c>
      <c r="AK202" t="str" cm="1">
        <f t="array" ref="AK202">_xlfn.IFS(H202="Life Sciences", "Ciências da Vida", H202="Other", "Outro", H202="Medical", "Médico", H202="Technical Degree", "Curso Técnico", H202="Marketing", "Marketing", H202="Human Resources", "Recursos Humanos")</f>
        <v>Curso Técnico</v>
      </c>
      <c r="AL202" t="str" cm="1">
        <f t="array" ref="AL2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3" spans="1:38" x14ac:dyDescent="0.25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IF(tbRh[[#This Row],[Gender]]="Female","Feminino","Masculino")</f>
        <v>Masculino</v>
      </c>
      <c r="AK203" t="str" cm="1">
        <f t="array" ref="AK203">_xlfn.IFS(H203="Life Sciences", "Ciências da Vida", H203="Other", "Outro", H203="Medical", "Médico", H203="Technical Degree", "Curso Técnico", H203="Marketing", "Marketing", H203="Human Resources", "Recursos Humanos")</f>
        <v>Ciências da Vida</v>
      </c>
      <c r="AL203" t="str" cm="1">
        <f t="array" ref="AL2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4" spans="1:38" x14ac:dyDescent="0.25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IF(tbRh[[#This Row],[Gender]]="Female","Feminino","Masculino")</f>
        <v>Masculino</v>
      </c>
      <c r="AK204" t="str" cm="1">
        <f t="array" ref="AK204">_xlfn.IFS(H204="Life Sciences", "Ciências da Vida", H204="Other", "Outro", H204="Medical", "Médico", H204="Technical Degree", "Curso Técnico", H204="Marketing", "Marketing", H204="Human Resources", "Recursos Humanos")</f>
        <v>Médico</v>
      </c>
      <c r="AL204" t="str" cm="1">
        <f t="array" ref="AL2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5" spans="1:38" x14ac:dyDescent="0.25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IF(tbRh[[#This Row],[Gender]]="Female","Feminino","Masculino")</f>
        <v>Masculino</v>
      </c>
      <c r="AK205" t="str" cm="1">
        <f t="array" ref="AK205">_xlfn.IFS(H205="Life Sciences", "Ciências da Vida", H205="Other", "Outro", H205="Medical", "Médico", H205="Technical Degree", "Curso Técnico", H205="Marketing", "Marketing", H205="Human Resources", "Recursos Humanos")</f>
        <v>Médico</v>
      </c>
      <c r="AL205" t="str" cm="1">
        <f t="array" ref="AL2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6" spans="1:38" x14ac:dyDescent="0.25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IF(tbRh[[#This Row],[Gender]]="Female","Feminino","Masculino")</f>
        <v>Masculino</v>
      </c>
      <c r="AK206" t="str" cm="1">
        <f t="array" ref="AK206">_xlfn.IFS(H206="Life Sciences", "Ciências da Vida", H206="Other", "Outro", H206="Medical", "Médico", H206="Technical Degree", "Curso Técnico", H206="Marketing", "Marketing", H206="Human Resources", "Recursos Humanos")</f>
        <v>Médico</v>
      </c>
      <c r="AL206" t="str" cm="1">
        <f t="array" ref="AL2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7" spans="1:38" x14ac:dyDescent="0.25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IF(tbRh[[#This Row],[Gender]]="Female","Feminino","Masculino")</f>
        <v>Feminino</v>
      </c>
      <c r="AK207" t="str" cm="1">
        <f t="array" ref="AK207">_xlfn.IFS(H207="Life Sciences", "Ciências da Vida", H207="Other", "Outro", H207="Medical", "Médico", H207="Technical Degree", "Curso Técnico", H207="Marketing", "Marketing", H207="Human Resources", "Recursos Humanos")</f>
        <v>Marketing</v>
      </c>
      <c r="AL207" t="str" cm="1">
        <f t="array" ref="AL20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08" spans="1:38" x14ac:dyDescent="0.25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IF(tbRh[[#This Row],[Gender]]="Female","Feminino","Masculino")</f>
        <v>Masculino</v>
      </c>
      <c r="AK208" t="str" cm="1">
        <f t="array" ref="AK208">_xlfn.IFS(H208="Life Sciences", "Ciências da Vida", H208="Other", "Outro", H208="Medical", "Médico", H208="Technical Degree", "Curso Técnico", H208="Marketing", "Marketing", H208="Human Resources", "Recursos Humanos")</f>
        <v>Ciências da Vida</v>
      </c>
      <c r="AL208" t="str" cm="1">
        <f t="array" ref="AL2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09" spans="1:38" x14ac:dyDescent="0.25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IF(tbRh[[#This Row],[Gender]]="Female","Feminino","Masculino")</f>
        <v>Feminino</v>
      </c>
      <c r="AK209" t="str" cm="1">
        <f t="array" ref="AK209">_xlfn.IFS(H209="Life Sciences", "Ciências da Vida", H209="Other", "Outro", H209="Medical", "Médico", H209="Technical Degree", "Curso Técnico", H209="Marketing", "Marketing", H209="Human Resources", "Recursos Humanos")</f>
        <v>Médico</v>
      </c>
      <c r="AL209" t="str" cm="1">
        <f t="array" ref="AL2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10" spans="1:38" x14ac:dyDescent="0.25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IF(tbRh[[#This Row],[Gender]]="Female","Feminino","Masculino")</f>
        <v>Masculino</v>
      </c>
      <c r="AK210" t="str" cm="1">
        <f t="array" ref="AK210">_xlfn.IFS(H210="Life Sciences", "Ciências da Vida", H210="Other", "Outro", H210="Medical", "Médico", H210="Technical Degree", "Curso Técnico", H210="Marketing", "Marketing", H210="Human Resources", "Recursos Humanos")</f>
        <v>Ciências da Vida</v>
      </c>
      <c r="AL210" t="str" cm="1">
        <f t="array" ref="AL2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11" spans="1:38" x14ac:dyDescent="0.25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IF(tbRh[[#This Row],[Gender]]="Female","Feminino","Masculino")</f>
        <v>Masculino</v>
      </c>
      <c r="AK211" t="str" cm="1">
        <f t="array" ref="AK211">_xlfn.IFS(H211="Life Sciences", "Ciências da Vida", H211="Other", "Outro", H211="Medical", "Médico", H211="Technical Degree", "Curso Técnico", H211="Marketing", "Marketing", H211="Human Resources", "Recursos Humanos")</f>
        <v>Médico</v>
      </c>
      <c r="AL211" t="str" cm="1">
        <f t="array" ref="AL2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12" spans="1:38" x14ac:dyDescent="0.25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IF(tbRh[[#This Row],[Gender]]="Female","Feminino","Masculino")</f>
        <v>Masculino</v>
      </c>
      <c r="AK212" t="str" cm="1">
        <f t="array" ref="AK212">_xlfn.IFS(H212="Life Sciences", "Ciências da Vida", H212="Other", "Outro", H212="Medical", "Médico", H212="Technical Degree", "Curso Técnico", H212="Marketing", "Marketing", H212="Human Resources", "Recursos Humanos")</f>
        <v>Médico</v>
      </c>
      <c r="AL212" t="str" cm="1">
        <f t="array" ref="AL21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13" spans="1:38" x14ac:dyDescent="0.25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IF(tbRh[[#This Row],[Gender]]="Female","Feminino","Masculino")</f>
        <v>Masculino</v>
      </c>
      <c r="AK213" t="str" cm="1">
        <f t="array" ref="AK213">_xlfn.IFS(H213="Life Sciences", "Ciências da Vida", H213="Other", "Outro", H213="Medical", "Médico", H213="Technical Degree", "Curso Técnico", H213="Marketing", "Marketing", H213="Human Resources", "Recursos Humanos")</f>
        <v>Ciências da Vida</v>
      </c>
      <c r="AL213" t="str" cm="1">
        <f t="array" ref="AL2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14" spans="1:38" x14ac:dyDescent="0.25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IF(tbRh[[#This Row],[Gender]]="Female","Feminino","Masculino")</f>
        <v>Feminino</v>
      </c>
      <c r="AK214" t="str" cm="1">
        <f t="array" ref="AK214">_xlfn.IFS(H214="Life Sciences", "Ciências da Vida", H214="Other", "Outro", H214="Medical", "Médico", H214="Technical Degree", "Curso Técnico", H214="Marketing", "Marketing", H214="Human Resources", "Recursos Humanos")</f>
        <v>Ciências da Vida</v>
      </c>
      <c r="AL214" t="str" cm="1">
        <f t="array" ref="AL21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15" spans="1:38" x14ac:dyDescent="0.25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IF(tbRh[[#This Row],[Gender]]="Female","Feminino","Masculino")</f>
        <v>Masculino</v>
      </c>
      <c r="AK215" t="str" cm="1">
        <f t="array" ref="AK215">_xlfn.IFS(H215="Life Sciences", "Ciências da Vida", H215="Other", "Outro", H215="Medical", "Médico", H215="Technical Degree", "Curso Técnico", H215="Marketing", "Marketing", H215="Human Resources", "Recursos Humanos")</f>
        <v>Ciências da Vida</v>
      </c>
      <c r="AL215" t="str" cm="1">
        <f t="array" ref="AL2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16" spans="1:38" x14ac:dyDescent="0.25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IF(tbRh[[#This Row],[Gender]]="Female","Feminino","Masculino")</f>
        <v>Feminino</v>
      </c>
      <c r="AK216" t="str" cm="1">
        <f t="array" ref="AK216">_xlfn.IFS(H216="Life Sciences", "Ciências da Vida", H216="Other", "Outro", H216="Medical", "Médico", H216="Technical Degree", "Curso Técnico", H216="Marketing", "Marketing", H216="Human Resources", "Recursos Humanos")</f>
        <v>Curso Técnico</v>
      </c>
      <c r="AL216" t="str" cm="1">
        <f t="array" ref="AL2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17" spans="1:38" x14ac:dyDescent="0.25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IF(tbRh[[#This Row],[Gender]]="Female","Feminino","Masculino")</f>
        <v>Feminino</v>
      </c>
      <c r="AK217" t="str" cm="1">
        <f t="array" ref="AK217">_xlfn.IFS(H217="Life Sciences", "Ciências da Vida", H217="Other", "Outro", H217="Medical", "Médico", H217="Technical Degree", "Curso Técnico", H217="Marketing", "Marketing", H217="Human Resources", "Recursos Humanos")</f>
        <v>Ciências da Vida</v>
      </c>
      <c r="AL217" t="str" cm="1">
        <f t="array" ref="AL21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18" spans="1:38" x14ac:dyDescent="0.25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IF(tbRh[[#This Row],[Gender]]="Female","Feminino","Masculino")</f>
        <v>Feminino</v>
      </c>
      <c r="AK218" t="str" cm="1">
        <f t="array" ref="AK218">_xlfn.IFS(H218="Life Sciences", "Ciências da Vida", H218="Other", "Outro", H218="Medical", "Médico", H218="Technical Degree", "Curso Técnico", H218="Marketing", "Marketing", H218="Human Resources", "Recursos Humanos")</f>
        <v>Marketing</v>
      </c>
      <c r="AL218" t="str" cm="1">
        <f t="array" ref="AL2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19" spans="1:38" x14ac:dyDescent="0.25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IF(tbRh[[#This Row],[Gender]]="Female","Feminino","Masculino")</f>
        <v>Masculino</v>
      </c>
      <c r="AK219" t="str" cm="1">
        <f t="array" ref="AK219">_xlfn.IFS(H219="Life Sciences", "Ciências da Vida", H219="Other", "Outro", H219="Medical", "Médico", H219="Technical Degree", "Curso Técnico", H219="Marketing", "Marketing", H219="Human Resources", "Recursos Humanos")</f>
        <v>Curso Técnico</v>
      </c>
      <c r="AL219" t="str" cm="1">
        <f t="array" ref="AL2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0" spans="1:38" x14ac:dyDescent="0.25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IF(tbRh[[#This Row],[Gender]]="Female","Feminino","Masculino")</f>
        <v>Feminino</v>
      </c>
      <c r="AK220" t="str" cm="1">
        <f t="array" ref="AK220">_xlfn.IFS(H220="Life Sciences", "Ciências da Vida", H220="Other", "Outro", H220="Medical", "Médico", H220="Technical Degree", "Curso Técnico", H220="Marketing", "Marketing", H220="Human Resources", "Recursos Humanos")</f>
        <v>Médico</v>
      </c>
      <c r="AL220" t="str" cm="1">
        <f t="array" ref="AL22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21" spans="1:38" x14ac:dyDescent="0.25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IF(tbRh[[#This Row],[Gender]]="Female","Feminino","Masculino")</f>
        <v>Feminino</v>
      </c>
      <c r="AK221" t="str" cm="1">
        <f t="array" ref="AK221">_xlfn.IFS(H221="Life Sciences", "Ciências da Vida", H221="Other", "Outro", H221="Medical", "Médico", H221="Technical Degree", "Curso Técnico", H221="Marketing", "Marketing", H221="Human Resources", "Recursos Humanos")</f>
        <v>Marketing</v>
      </c>
      <c r="AL221" t="str" cm="1">
        <f t="array" ref="AL2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22" spans="1:38" x14ac:dyDescent="0.25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IF(tbRh[[#This Row],[Gender]]="Female","Feminino","Masculino")</f>
        <v>Masculino</v>
      </c>
      <c r="AK222" t="str" cm="1">
        <f t="array" ref="AK222">_xlfn.IFS(H222="Life Sciences", "Ciências da Vida", H222="Other", "Outro", H222="Medical", "Médico", H222="Technical Degree", "Curso Técnico", H222="Marketing", "Marketing", H222="Human Resources", "Recursos Humanos")</f>
        <v>Ciências da Vida</v>
      </c>
      <c r="AL222" t="str" cm="1">
        <f t="array" ref="AL2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3" spans="1:38" x14ac:dyDescent="0.25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IF(tbRh[[#This Row],[Gender]]="Female","Feminino","Masculino")</f>
        <v>Feminino</v>
      </c>
      <c r="AK223" t="str" cm="1">
        <f t="array" ref="AK223">_xlfn.IFS(H223="Life Sciences", "Ciências da Vida", H223="Other", "Outro", H223="Medical", "Médico", H223="Technical Degree", "Curso Técnico", H223="Marketing", "Marketing", H223="Human Resources", "Recursos Humanos")</f>
        <v>Médico</v>
      </c>
      <c r="AL223" t="str" cm="1">
        <f t="array" ref="AL2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4" spans="1:38" x14ac:dyDescent="0.2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IF(tbRh[[#This Row],[Gender]]="Female","Feminino","Masculino")</f>
        <v>Masculino</v>
      </c>
      <c r="AK224" t="str" cm="1">
        <f t="array" ref="AK224">_xlfn.IFS(H224="Life Sciences", "Ciências da Vida", H224="Other", "Outro", H224="Medical", "Médico", H224="Technical Degree", "Curso Técnico", H224="Marketing", "Marketing", H224="Human Resources", "Recursos Humanos")</f>
        <v>Outro</v>
      </c>
      <c r="AL224" t="str" cm="1">
        <f t="array" ref="AL2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5" spans="1:38" x14ac:dyDescent="0.25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IF(tbRh[[#This Row],[Gender]]="Female","Feminino","Masculino")</f>
        <v>Masculino</v>
      </c>
      <c r="AK225" t="str" cm="1">
        <f t="array" ref="AK225">_xlfn.IFS(H225="Life Sciences", "Ciências da Vida", H225="Other", "Outro", H225="Medical", "Médico", H225="Technical Degree", "Curso Técnico", H225="Marketing", "Marketing", H225="Human Resources", "Recursos Humanos")</f>
        <v>Ciências da Vida</v>
      </c>
      <c r="AL225" t="str" cm="1">
        <f t="array" ref="AL22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26" spans="1:38" x14ac:dyDescent="0.25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IF(tbRh[[#This Row],[Gender]]="Female","Feminino","Masculino")</f>
        <v>Masculino</v>
      </c>
      <c r="AK226" t="str" cm="1">
        <f t="array" ref="AK226">_xlfn.IFS(H226="Life Sciences", "Ciências da Vida", H226="Other", "Outro", H226="Medical", "Médico", H226="Technical Degree", "Curso Técnico", H226="Marketing", "Marketing", H226="Human Resources", "Recursos Humanos")</f>
        <v>Médico</v>
      </c>
      <c r="AL226" t="str" cm="1">
        <f t="array" ref="AL2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7" spans="1:38" x14ac:dyDescent="0.25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IF(tbRh[[#This Row],[Gender]]="Female","Feminino","Masculino")</f>
        <v>Masculino</v>
      </c>
      <c r="AK227" t="str" cm="1">
        <f t="array" ref="AK227">_xlfn.IFS(H227="Life Sciences", "Ciências da Vida", H227="Other", "Outro", H227="Medical", "Médico", H227="Technical Degree", "Curso Técnico", H227="Marketing", "Marketing", H227="Human Resources", "Recursos Humanos")</f>
        <v>Ciências da Vida</v>
      </c>
      <c r="AL227" t="str" cm="1">
        <f t="array" ref="AL2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28" spans="1:38" x14ac:dyDescent="0.25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IF(tbRh[[#This Row],[Gender]]="Female","Feminino","Masculino")</f>
        <v>Masculino</v>
      </c>
      <c r="AK228" t="str" cm="1">
        <f t="array" ref="AK228">_xlfn.IFS(H228="Life Sciences", "Ciências da Vida", H228="Other", "Outro", H228="Medical", "Médico", H228="Technical Degree", "Curso Técnico", H228="Marketing", "Marketing", H228="Human Resources", "Recursos Humanos")</f>
        <v>Marketing</v>
      </c>
      <c r="AL228" t="str" cm="1">
        <f t="array" ref="AL22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29" spans="1:38" x14ac:dyDescent="0.25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IF(tbRh[[#This Row],[Gender]]="Female","Feminino","Masculino")</f>
        <v>Feminino</v>
      </c>
      <c r="AK229" t="str" cm="1">
        <f t="array" ref="AK229">_xlfn.IFS(H229="Life Sciences", "Ciências da Vida", H229="Other", "Outro", H229="Medical", "Médico", H229="Technical Degree", "Curso Técnico", H229="Marketing", "Marketing", H229="Human Resources", "Recursos Humanos")</f>
        <v>Médico</v>
      </c>
      <c r="AL229" t="str" cm="1">
        <f t="array" ref="AL2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30" spans="1:38" x14ac:dyDescent="0.25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IF(tbRh[[#This Row],[Gender]]="Female","Feminino","Masculino")</f>
        <v>Feminino</v>
      </c>
      <c r="AK230" t="str" cm="1">
        <f t="array" ref="AK230">_xlfn.IFS(H230="Life Sciences", "Ciências da Vida", H230="Other", "Outro", H230="Medical", "Médico", H230="Technical Degree", "Curso Técnico", H230="Marketing", "Marketing", H230="Human Resources", "Recursos Humanos")</f>
        <v>Marketing</v>
      </c>
      <c r="AL230" t="str" cm="1">
        <f t="array" ref="AL23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31" spans="1:38" x14ac:dyDescent="0.25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IF(tbRh[[#This Row],[Gender]]="Female","Feminino","Masculino")</f>
        <v>Masculino</v>
      </c>
      <c r="AK231" t="str" cm="1">
        <f t="array" ref="AK231">_xlfn.IFS(H231="Life Sciences", "Ciências da Vida", H231="Other", "Outro", H231="Medical", "Médico", H231="Technical Degree", "Curso Técnico", H231="Marketing", "Marketing", H231="Human Resources", "Recursos Humanos")</f>
        <v>Médico</v>
      </c>
      <c r="AL231" t="str" cm="1">
        <f t="array" ref="AL2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32" spans="1:38" x14ac:dyDescent="0.25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IF(tbRh[[#This Row],[Gender]]="Female","Feminino","Masculino")</f>
        <v>Feminino</v>
      </c>
      <c r="AK232" t="str" cm="1">
        <f t="array" ref="AK232">_xlfn.IFS(H232="Life Sciences", "Ciências da Vida", H232="Other", "Outro", H232="Medical", "Médico", H232="Technical Degree", "Curso Técnico", H232="Marketing", "Marketing", H232="Human Resources", "Recursos Humanos")</f>
        <v>Ciências da Vida</v>
      </c>
      <c r="AL232" t="str" cm="1">
        <f t="array" ref="AL2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33" spans="1:38" x14ac:dyDescent="0.25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IF(tbRh[[#This Row],[Gender]]="Female","Feminino","Masculino")</f>
        <v>Masculino</v>
      </c>
      <c r="AK233" t="str" cm="1">
        <f t="array" ref="AK233">_xlfn.IFS(H233="Life Sciences", "Ciências da Vida", H233="Other", "Outro", H233="Medical", "Médico", H233="Technical Degree", "Curso Técnico", H233="Marketing", "Marketing", H233="Human Resources", "Recursos Humanos")</f>
        <v>Curso Técnico</v>
      </c>
      <c r="AL233" t="str" cm="1">
        <f t="array" ref="AL2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34" spans="1:38" x14ac:dyDescent="0.25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IF(tbRh[[#This Row],[Gender]]="Female","Feminino","Masculino")</f>
        <v>Masculino</v>
      </c>
      <c r="AK234" t="str" cm="1">
        <f t="array" ref="AK234">_xlfn.IFS(H234="Life Sciences", "Ciências da Vida", H234="Other", "Outro", H234="Medical", "Médico", H234="Technical Degree", "Curso Técnico", H234="Marketing", "Marketing", H234="Human Resources", "Recursos Humanos")</f>
        <v>Médico</v>
      </c>
      <c r="AL234" t="str" cm="1">
        <f t="array" ref="AL234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235" spans="1:38" x14ac:dyDescent="0.25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IF(tbRh[[#This Row],[Gender]]="Female","Feminino","Masculino")</f>
        <v>Feminino</v>
      </c>
      <c r="AK235" t="str" cm="1">
        <f t="array" ref="AK235">_xlfn.IFS(H235="Life Sciences", "Ciências da Vida", H235="Other", "Outro", H235="Medical", "Médico", H235="Technical Degree", "Curso Técnico", H235="Marketing", "Marketing", H235="Human Resources", "Recursos Humanos")</f>
        <v>Médico</v>
      </c>
      <c r="AL235" t="str" cm="1">
        <f t="array" ref="AL2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36" spans="1:38" x14ac:dyDescent="0.25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IF(tbRh[[#This Row],[Gender]]="Female","Feminino","Masculino")</f>
        <v>Masculino</v>
      </c>
      <c r="AK236" t="str" cm="1">
        <f t="array" ref="AK236">_xlfn.IFS(H236="Life Sciences", "Ciências da Vida", H236="Other", "Outro", H236="Medical", "Médico", H236="Technical Degree", "Curso Técnico", H236="Marketing", "Marketing", H236="Human Resources", "Recursos Humanos")</f>
        <v>Médico</v>
      </c>
      <c r="AL236" t="str" cm="1">
        <f t="array" ref="AL2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37" spans="1:38" x14ac:dyDescent="0.25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IF(tbRh[[#This Row],[Gender]]="Female","Feminino","Masculino")</f>
        <v>Feminino</v>
      </c>
      <c r="AK237" t="str" cm="1">
        <f t="array" ref="AK237">_xlfn.IFS(H237="Life Sciences", "Ciências da Vida", H237="Other", "Outro", H237="Medical", "Médico", H237="Technical Degree", "Curso Técnico", H237="Marketing", "Marketing", H237="Human Resources", "Recursos Humanos")</f>
        <v>Marketing</v>
      </c>
      <c r="AL237" t="str" cm="1">
        <f t="array" ref="AL23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38" spans="1:38" x14ac:dyDescent="0.25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IF(tbRh[[#This Row],[Gender]]="Female","Feminino","Masculino")</f>
        <v>Feminino</v>
      </c>
      <c r="AK238" t="str" cm="1">
        <f t="array" ref="AK238">_xlfn.IFS(H238="Life Sciences", "Ciências da Vida", H238="Other", "Outro", H238="Medical", "Médico", H238="Technical Degree", "Curso Técnico", H238="Marketing", "Marketing", H238="Human Resources", "Recursos Humanos")</f>
        <v>Ciências da Vida</v>
      </c>
      <c r="AL238" t="str" cm="1">
        <f t="array" ref="AL2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39" spans="1:38" x14ac:dyDescent="0.25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IF(tbRh[[#This Row],[Gender]]="Female","Feminino","Masculino")</f>
        <v>Masculino</v>
      </c>
      <c r="AK239" t="str" cm="1">
        <f t="array" ref="AK239">_xlfn.IFS(H239="Life Sciences", "Ciências da Vida", H239="Other", "Outro", H239="Medical", "Médico", H239="Technical Degree", "Curso Técnico", H239="Marketing", "Marketing", H239="Human Resources", "Recursos Humanos")</f>
        <v>Ciências da Vida</v>
      </c>
      <c r="AL239" t="str" cm="1">
        <f t="array" ref="AL23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40" spans="1:38" x14ac:dyDescent="0.25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IF(tbRh[[#This Row],[Gender]]="Female","Feminino","Masculino")</f>
        <v>Feminino</v>
      </c>
      <c r="AK240" t="str" cm="1">
        <f t="array" ref="AK240">_xlfn.IFS(H240="Life Sciences", "Ciências da Vida", H240="Other", "Outro", H240="Medical", "Médico", H240="Technical Degree", "Curso Técnico", H240="Marketing", "Marketing", H240="Human Resources", "Recursos Humanos")</f>
        <v>Ciências da Vida</v>
      </c>
      <c r="AL240" t="str" cm="1">
        <f t="array" ref="AL2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41" spans="1:38" x14ac:dyDescent="0.25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IF(tbRh[[#This Row],[Gender]]="Female","Feminino","Masculino")</f>
        <v>Masculino</v>
      </c>
      <c r="AK241" t="str" cm="1">
        <f t="array" ref="AK241">_xlfn.IFS(H241="Life Sciences", "Ciências da Vida", H241="Other", "Outro", H241="Medical", "Médico", H241="Technical Degree", "Curso Técnico", H241="Marketing", "Marketing", H241="Human Resources", "Recursos Humanos")</f>
        <v>Ciências da Vida</v>
      </c>
      <c r="AL241" t="str" cm="1">
        <f t="array" ref="AL2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2" spans="1:38" x14ac:dyDescent="0.25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IF(tbRh[[#This Row],[Gender]]="Female","Feminino","Masculino")</f>
        <v>Feminino</v>
      </c>
      <c r="AK242" t="str" cm="1">
        <f t="array" ref="AK242">_xlfn.IFS(H242="Life Sciences", "Ciências da Vida", H242="Other", "Outro", H242="Medical", "Médico", H242="Technical Degree", "Curso Técnico", H242="Marketing", "Marketing", H242="Human Resources", "Recursos Humanos")</f>
        <v>Médico</v>
      </c>
      <c r="AL242" t="str" cm="1">
        <f t="array" ref="AL2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3" spans="1:38" x14ac:dyDescent="0.25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IF(tbRh[[#This Row],[Gender]]="Female","Feminino","Masculino")</f>
        <v>Masculino</v>
      </c>
      <c r="AK243" t="str" cm="1">
        <f t="array" ref="AK243">_xlfn.IFS(H243="Life Sciences", "Ciências da Vida", H243="Other", "Outro", H243="Medical", "Médico", H243="Technical Degree", "Curso Técnico", H243="Marketing", "Marketing", H243="Human Resources", "Recursos Humanos")</f>
        <v>Marketing</v>
      </c>
      <c r="AL243" t="str" cm="1">
        <f t="array" ref="AL24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44" spans="1:38" x14ac:dyDescent="0.25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IF(tbRh[[#This Row],[Gender]]="Female","Feminino","Masculino")</f>
        <v>Masculino</v>
      </c>
      <c r="AK244" t="str" cm="1">
        <f t="array" ref="AK244">_xlfn.IFS(H244="Life Sciences", "Ciências da Vida", H244="Other", "Outro", H244="Medical", "Médico", H244="Technical Degree", "Curso Técnico", H244="Marketing", "Marketing", H244="Human Resources", "Recursos Humanos")</f>
        <v>Ciências da Vida</v>
      </c>
      <c r="AL244" t="str" cm="1">
        <f t="array" ref="AL2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5" spans="1:38" x14ac:dyDescent="0.25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IF(tbRh[[#This Row],[Gender]]="Female","Feminino","Masculino")</f>
        <v>Masculino</v>
      </c>
      <c r="AK245" t="str" cm="1">
        <f t="array" ref="AK245">_xlfn.IFS(H245="Life Sciences", "Ciências da Vida", H245="Other", "Outro", H245="Medical", "Médico", H245="Technical Degree", "Curso Técnico", H245="Marketing", "Marketing", H245="Human Resources", "Recursos Humanos")</f>
        <v>Curso Técnico</v>
      </c>
      <c r="AL245" t="str" cm="1">
        <f t="array" ref="AL2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6" spans="1:38" x14ac:dyDescent="0.25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IF(tbRh[[#This Row],[Gender]]="Female","Feminino","Masculino")</f>
        <v>Masculino</v>
      </c>
      <c r="AK246" t="str" cm="1">
        <f t="array" ref="AK246">_xlfn.IFS(H246="Life Sciences", "Ciências da Vida", H246="Other", "Outro", H246="Medical", "Médico", H246="Technical Degree", "Curso Técnico", H246="Marketing", "Marketing", H246="Human Resources", "Recursos Humanos")</f>
        <v>Outro</v>
      </c>
      <c r="AL246" t="str" cm="1">
        <f t="array" ref="AL2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7" spans="1:38" x14ac:dyDescent="0.25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IF(tbRh[[#This Row],[Gender]]="Female","Feminino","Masculino")</f>
        <v>Masculino</v>
      </c>
      <c r="AK247" t="str" cm="1">
        <f t="array" ref="AK247">_xlfn.IFS(H247="Life Sciences", "Ciências da Vida", H247="Other", "Outro", H247="Medical", "Médico", H247="Technical Degree", "Curso Técnico", H247="Marketing", "Marketing", H247="Human Resources", "Recursos Humanos")</f>
        <v>Médico</v>
      </c>
      <c r="AL247" t="str" cm="1">
        <f t="array" ref="AL2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8" spans="1:38" x14ac:dyDescent="0.25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IF(tbRh[[#This Row],[Gender]]="Female","Feminino","Masculino")</f>
        <v>Feminino</v>
      </c>
      <c r="AK248" t="str" cm="1">
        <f t="array" ref="AK248">_xlfn.IFS(H248="Life Sciences", "Ciências da Vida", H248="Other", "Outro", H248="Medical", "Médico", H248="Technical Degree", "Curso Técnico", H248="Marketing", "Marketing", H248="Human Resources", "Recursos Humanos")</f>
        <v>Ciências da Vida</v>
      </c>
      <c r="AL248" t="str" cm="1">
        <f t="array" ref="AL2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49" spans="1:38" x14ac:dyDescent="0.25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IF(tbRh[[#This Row],[Gender]]="Female","Feminino","Masculino")</f>
        <v>Masculino</v>
      </c>
      <c r="AK249" t="str" cm="1">
        <f t="array" ref="AK249">_xlfn.IFS(H249="Life Sciences", "Ciências da Vida", H249="Other", "Outro", H249="Medical", "Médico", H249="Technical Degree", "Curso Técnico", H249="Marketing", "Marketing", H249="Human Resources", "Recursos Humanos")</f>
        <v>Ciências da Vida</v>
      </c>
      <c r="AL249" t="str" cm="1">
        <f t="array" ref="AL2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0" spans="1:38" x14ac:dyDescent="0.25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IF(tbRh[[#This Row],[Gender]]="Female","Feminino","Masculino")</f>
        <v>Feminino</v>
      </c>
      <c r="AK250" t="str" cm="1">
        <f t="array" ref="AK250">_xlfn.IFS(H250="Life Sciences", "Ciências da Vida", H250="Other", "Outro", H250="Medical", "Médico", H250="Technical Degree", "Curso Técnico", H250="Marketing", "Marketing", H250="Human Resources", "Recursos Humanos")</f>
        <v>Médico</v>
      </c>
      <c r="AL250" t="str" cm="1">
        <f t="array" ref="AL2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1" spans="1:38" x14ac:dyDescent="0.25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IF(tbRh[[#This Row],[Gender]]="Female","Feminino","Masculino")</f>
        <v>Masculino</v>
      </c>
      <c r="AK251" t="str" cm="1">
        <f t="array" ref="AK251">_xlfn.IFS(H251="Life Sciences", "Ciências da Vida", H251="Other", "Outro", H251="Medical", "Médico", H251="Technical Degree", "Curso Técnico", H251="Marketing", "Marketing", H251="Human Resources", "Recursos Humanos")</f>
        <v>Ciências da Vida</v>
      </c>
      <c r="AL251" t="str" cm="1">
        <f t="array" ref="AL2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2" spans="1:38" x14ac:dyDescent="0.25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IF(tbRh[[#This Row],[Gender]]="Female","Feminino","Masculino")</f>
        <v>Masculino</v>
      </c>
      <c r="AK252" t="str" cm="1">
        <f t="array" ref="AK252">_xlfn.IFS(H252="Life Sciences", "Ciências da Vida", H252="Other", "Outro", H252="Medical", "Médico", H252="Technical Degree", "Curso Técnico", H252="Marketing", "Marketing", H252="Human Resources", "Recursos Humanos")</f>
        <v>Médico</v>
      </c>
      <c r="AL252" t="str" cm="1">
        <f t="array" ref="AL2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3" spans="1:38" x14ac:dyDescent="0.25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IF(tbRh[[#This Row],[Gender]]="Female","Feminino","Masculino")</f>
        <v>Feminino</v>
      </c>
      <c r="AK253" t="str" cm="1">
        <f t="array" ref="AK253">_xlfn.IFS(H253="Life Sciences", "Ciências da Vida", H253="Other", "Outro", H253="Medical", "Médico", H253="Technical Degree", "Curso Técnico", H253="Marketing", "Marketing", H253="Human Resources", "Recursos Humanos")</f>
        <v>Curso Técnico</v>
      </c>
      <c r="AL253" t="str" cm="1">
        <f t="array" ref="AL2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4" spans="1:38" x14ac:dyDescent="0.25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IF(tbRh[[#This Row],[Gender]]="Female","Feminino","Masculino")</f>
        <v>Masculino</v>
      </c>
      <c r="AK254" t="str" cm="1">
        <f t="array" ref="AK254">_xlfn.IFS(H254="Life Sciences", "Ciências da Vida", H254="Other", "Outro", H254="Medical", "Médico", H254="Technical Degree", "Curso Técnico", H254="Marketing", "Marketing", H254="Human Resources", "Recursos Humanos")</f>
        <v>Ciências da Vida</v>
      </c>
      <c r="AL254" t="str" cm="1">
        <f t="array" ref="AL2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5" spans="1:38" x14ac:dyDescent="0.25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IF(tbRh[[#This Row],[Gender]]="Female","Feminino","Masculino")</f>
        <v>Feminino</v>
      </c>
      <c r="AK255" t="str" cm="1">
        <f t="array" ref="AK255">_xlfn.IFS(H255="Life Sciences", "Ciências da Vida", H255="Other", "Outro", H255="Medical", "Médico", H255="Technical Degree", "Curso Técnico", H255="Marketing", "Marketing", H255="Human Resources", "Recursos Humanos")</f>
        <v>Ciências da Vida</v>
      </c>
      <c r="AL255" t="str" cm="1">
        <f t="array" ref="AL2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6" spans="1:38" x14ac:dyDescent="0.25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IF(tbRh[[#This Row],[Gender]]="Female","Feminino","Masculino")</f>
        <v>Masculino</v>
      </c>
      <c r="AK256" t="str" cm="1">
        <f t="array" ref="AK256">_xlfn.IFS(H256="Life Sciences", "Ciências da Vida", H256="Other", "Outro", H256="Medical", "Médico", H256="Technical Degree", "Curso Técnico", H256="Marketing", "Marketing", H256="Human Resources", "Recursos Humanos")</f>
        <v>Marketing</v>
      </c>
      <c r="AL256" t="str" cm="1">
        <f t="array" ref="AL2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57" spans="1:38" x14ac:dyDescent="0.25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IF(tbRh[[#This Row],[Gender]]="Female","Feminino","Masculino")</f>
        <v>Feminino</v>
      </c>
      <c r="AK257" t="str" cm="1">
        <f t="array" ref="AK257">_xlfn.IFS(H257="Life Sciences", "Ciências da Vida", H257="Other", "Outro", H257="Medical", "Médico", H257="Technical Degree", "Curso Técnico", H257="Marketing", "Marketing", H257="Human Resources", "Recursos Humanos")</f>
        <v>Ciências da Vida</v>
      </c>
      <c r="AL257" t="str" cm="1">
        <f t="array" ref="AL2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8" spans="1:38" x14ac:dyDescent="0.25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IF(tbRh[[#This Row],[Gender]]="Female","Feminino","Masculino")</f>
        <v>Feminino</v>
      </c>
      <c r="AK258" t="str" cm="1">
        <f t="array" ref="AK258">_xlfn.IFS(H258="Life Sciences", "Ciências da Vida", H258="Other", "Outro", H258="Medical", "Médico", H258="Technical Degree", "Curso Técnico", H258="Marketing", "Marketing", H258="Human Resources", "Recursos Humanos")</f>
        <v>Médico</v>
      </c>
      <c r="AL258" t="str" cm="1">
        <f t="array" ref="AL2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59" spans="1:38" x14ac:dyDescent="0.25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IF(tbRh[[#This Row],[Gender]]="Female","Feminino","Masculino")</f>
        <v>Masculino</v>
      </c>
      <c r="AK259" t="str" cm="1">
        <f t="array" ref="AK259">_xlfn.IFS(H259="Life Sciences", "Ciências da Vida", H259="Other", "Outro", H259="Medical", "Médico", H259="Technical Degree", "Curso Técnico", H259="Marketing", "Marketing", H259="Human Resources", "Recursos Humanos")</f>
        <v>Médico</v>
      </c>
      <c r="AL259" t="str" cm="1">
        <f t="array" ref="AL2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0" spans="1:38" x14ac:dyDescent="0.25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IF(tbRh[[#This Row],[Gender]]="Female","Feminino","Masculino")</f>
        <v>Masculino</v>
      </c>
      <c r="AK260" t="str" cm="1">
        <f t="array" ref="AK260">_xlfn.IFS(H260="Life Sciences", "Ciências da Vida", H260="Other", "Outro", H260="Medical", "Médico", H260="Technical Degree", "Curso Técnico", H260="Marketing", "Marketing", H260="Human Resources", "Recursos Humanos")</f>
        <v>Ciências da Vida</v>
      </c>
      <c r="AL260" t="str" cm="1">
        <f t="array" ref="AL2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1" spans="1:38" x14ac:dyDescent="0.25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IF(tbRh[[#This Row],[Gender]]="Female","Feminino","Masculino")</f>
        <v>Masculino</v>
      </c>
      <c r="AK261" t="str" cm="1">
        <f t="array" ref="AK261">_xlfn.IFS(H261="Life Sciences", "Ciências da Vida", H261="Other", "Outro", H261="Medical", "Médico", H261="Technical Degree", "Curso Técnico", H261="Marketing", "Marketing", H261="Human Resources", "Recursos Humanos")</f>
        <v>Médico</v>
      </c>
      <c r="AL261" t="str" cm="1">
        <f t="array" ref="AL2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2" spans="1:38" x14ac:dyDescent="0.25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IF(tbRh[[#This Row],[Gender]]="Female","Feminino","Masculino")</f>
        <v>Masculino</v>
      </c>
      <c r="AK262" t="str" cm="1">
        <f t="array" ref="AK262">_xlfn.IFS(H262="Life Sciences", "Ciências da Vida", H262="Other", "Outro", H262="Medical", "Médico", H262="Technical Degree", "Curso Técnico", H262="Marketing", "Marketing", H262="Human Resources", "Recursos Humanos")</f>
        <v>Ciências da Vida</v>
      </c>
      <c r="AL262" t="str" cm="1">
        <f t="array" ref="AL2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3" spans="1:38" x14ac:dyDescent="0.25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IF(tbRh[[#This Row],[Gender]]="Female","Feminino","Masculino")</f>
        <v>Masculino</v>
      </c>
      <c r="AK263" t="str" cm="1">
        <f t="array" ref="AK263">_xlfn.IFS(H263="Life Sciences", "Ciências da Vida", H263="Other", "Outro", H263="Medical", "Médico", H263="Technical Degree", "Curso Técnico", H263="Marketing", "Marketing", H263="Human Resources", "Recursos Humanos")</f>
        <v>Ciências da Vida</v>
      </c>
      <c r="AL263" t="str" cm="1">
        <f t="array" ref="AL26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64" spans="1:38" x14ac:dyDescent="0.25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IF(tbRh[[#This Row],[Gender]]="Female","Feminino","Masculino")</f>
        <v>Masculino</v>
      </c>
      <c r="AK264" t="str" cm="1">
        <f t="array" ref="AK264">_xlfn.IFS(H264="Life Sciences", "Ciências da Vida", H264="Other", "Outro", H264="Medical", "Médico", H264="Technical Degree", "Curso Técnico", H264="Marketing", "Marketing", H264="Human Resources", "Recursos Humanos")</f>
        <v>Curso Técnico</v>
      </c>
      <c r="AL264" t="str" cm="1">
        <f t="array" ref="AL2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5" spans="1:38" x14ac:dyDescent="0.25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IF(tbRh[[#This Row],[Gender]]="Female","Feminino","Masculino")</f>
        <v>Feminino</v>
      </c>
      <c r="AK265" t="str" cm="1">
        <f t="array" ref="AK265">_xlfn.IFS(H265="Life Sciences", "Ciências da Vida", H265="Other", "Outro", H265="Medical", "Médico", H265="Technical Degree", "Curso Técnico", H265="Marketing", "Marketing", H265="Human Resources", "Recursos Humanos")</f>
        <v>Curso Técnico</v>
      </c>
      <c r="AL265" t="str" cm="1">
        <f t="array" ref="AL2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66" spans="1:38" x14ac:dyDescent="0.25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IF(tbRh[[#This Row],[Gender]]="Female","Feminino","Masculino")</f>
        <v>Masculino</v>
      </c>
      <c r="AK266" t="str" cm="1">
        <f t="array" ref="AK266">_xlfn.IFS(H266="Life Sciences", "Ciências da Vida", H266="Other", "Outro", H266="Medical", "Médico", H266="Technical Degree", "Curso Técnico", H266="Marketing", "Marketing", H266="Human Resources", "Recursos Humanos")</f>
        <v>Ciências da Vida</v>
      </c>
      <c r="AL266" t="str" cm="1">
        <f t="array" ref="AL2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7" spans="1:38" x14ac:dyDescent="0.25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IF(tbRh[[#This Row],[Gender]]="Female","Feminino","Masculino")</f>
        <v>Masculino</v>
      </c>
      <c r="AK267" t="str" cm="1">
        <f t="array" ref="AK267">_xlfn.IFS(H267="Life Sciences", "Ciências da Vida", H267="Other", "Outro", H267="Medical", "Médico", H267="Technical Degree", "Curso Técnico", H267="Marketing", "Marketing", H267="Human Resources", "Recursos Humanos")</f>
        <v>Médico</v>
      </c>
      <c r="AL267" t="str" cm="1">
        <f t="array" ref="AL26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68" spans="1:38" x14ac:dyDescent="0.25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IF(tbRh[[#This Row],[Gender]]="Female","Feminino","Masculino")</f>
        <v>Masculino</v>
      </c>
      <c r="AK268" t="str" cm="1">
        <f t="array" ref="AK268">_xlfn.IFS(H268="Life Sciences", "Ciências da Vida", H268="Other", "Outro", H268="Medical", "Médico", H268="Technical Degree", "Curso Técnico", H268="Marketing", "Marketing", H268="Human Resources", "Recursos Humanos")</f>
        <v>Médico</v>
      </c>
      <c r="AL268" t="str" cm="1">
        <f t="array" ref="AL2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69" spans="1:38" x14ac:dyDescent="0.25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IF(tbRh[[#This Row],[Gender]]="Female","Feminino","Masculino")</f>
        <v>Masculino</v>
      </c>
      <c r="AK269" t="str" cm="1">
        <f t="array" ref="AK269">_xlfn.IFS(H269="Life Sciences", "Ciências da Vida", H269="Other", "Outro", H269="Medical", "Médico", H269="Technical Degree", "Curso Técnico", H269="Marketing", "Marketing", H269="Human Resources", "Recursos Humanos")</f>
        <v>Ciências da Vida</v>
      </c>
      <c r="AL269" t="str" cm="1">
        <f t="array" ref="AL2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0" spans="1:38" x14ac:dyDescent="0.25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IF(tbRh[[#This Row],[Gender]]="Female","Feminino","Masculino")</f>
        <v>Masculino</v>
      </c>
      <c r="AK270" t="str" cm="1">
        <f t="array" ref="AK270">_xlfn.IFS(H270="Life Sciences", "Ciências da Vida", H270="Other", "Outro", H270="Medical", "Médico", H270="Technical Degree", "Curso Técnico", H270="Marketing", "Marketing", H270="Human Resources", "Recursos Humanos")</f>
        <v>Médico</v>
      </c>
      <c r="AL270" t="str" cm="1">
        <f t="array" ref="AL2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1" spans="1:38" x14ac:dyDescent="0.25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IF(tbRh[[#This Row],[Gender]]="Female","Feminino","Masculino")</f>
        <v>Masculino</v>
      </c>
      <c r="AK271" t="str" cm="1">
        <f t="array" ref="AK271">_xlfn.IFS(H271="Life Sciences", "Ciências da Vida", H271="Other", "Outro", H271="Medical", "Médico", H271="Technical Degree", "Curso Técnico", H271="Marketing", "Marketing", H271="Human Resources", "Recursos Humanos")</f>
        <v>Ciências da Vida</v>
      </c>
      <c r="AL271" t="str" cm="1">
        <f t="array" ref="AL2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2" spans="1:38" x14ac:dyDescent="0.25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IF(tbRh[[#This Row],[Gender]]="Female","Feminino","Masculino")</f>
        <v>Masculino</v>
      </c>
      <c r="AK272" t="str" cm="1">
        <f t="array" ref="AK272">_xlfn.IFS(H272="Life Sciences", "Ciências da Vida", H272="Other", "Outro", H272="Medical", "Médico", H272="Technical Degree", "Curso Técnico", H272="Marketing", "Marketing", H272="Human Resources", "Recursos Humanos")</f>
        <v>Médico</v>
      </c>
      <c r="AL272" t="str" cm="1">
        <f t="array" ref="AL2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3" spans="1:38" x14ac:dyDescent="0.25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IF(tbRh[[#This Row],[Gender]]="Female","Feminino","Masculino")</f>
        <v>Masculino</v>
      </c>
      <c r="AK273" t="str" cm="1">
        <f t="array" ref="AK273">_xlfn.IFS(H273="Life Sciences", "Ciências da Vida", H273="Other", "Outro", H273="Medical", "Médico", H273="Technical Degree", "Curso Técnico", H273="Marketing", "Marketing", H273="Human Resources", "Recursos Humanos")</f>
        <v>Ciências da Vida</v>
      </c>
      <c r="AL273" t="str" cm="1">
        <f t="array" ref="AL2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4" spans="1:38" x14ac:dyDescent="0.25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IF(tbRh[[#This Row],[Gender]]="Female","Feminino","Masculino")</f>
        <v>Masculino</v>
      </c>
      <c r="AK274" t="str" cm="1">
        <f t="array" ref="AK274">_xlfn.IFS(H274="Life Sciences", "Ciências da Vida", H274="Other", "Outro", H274="Medical", "Médico", H274="Technical Degree", "Curso Técnico", H274="Marketing", "Marketing", H274="Human Resources", "Recursos Humanos")</f>
        <v>Médico</v>
      </c>
      <c r="AL274" t="str" cm="1">
        <f t="array" ref="AL2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5" spans="1:38" x14ac:dyDescent="0.25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IF(tbRh[[#This Row],[Gender]]="Female","Feminino","Masculino")</f>
        <v>Masculino</v>
      </c>
      <c r="AK275" t="str" cm="1">
        <f t="array" ref="AK275">_xlfn.IFS(H275="Life Sciences", "Ciências da Vida", H275="Other", "Outro", H275="Medical", "Médico", H275="Technical Degree", "Curso Técnico", H275="Marketing", "Marketing", H275="Human Resources", "Recursos Humanos")</f>
        <v>Médico</v>
      </c>
      <c r="AL275" t="str" cm="1">
        <f t="array" ref="AL27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76" spans="1:38" x14ac:dyDescent="0.25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IF(tbRh[[#This Row],[Gender]]="Female","Feminino","Masculino")</f>
        <v>Masculino</v>
      </c>
      <c r="AK276" t="str" cm="1">
        <f t="array" ref="AK276">_xlfn.IFS(H276="Life Sciences", "Ciências da Vida", H276="Other", "Outro", H276="Medical", "Médico", H276="Technical Degree", "Curso Técnico", H276="Marketing", "Marketing", H276="Human Resources", "Recursos Humanos")</f>
        <v>Médico</v>
      </c>
      <c r="AL276" t="str" cm="1">
        <f t="array" ref="AL2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7" spans="1:38" x14ac:dyDescent="0.25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IF(tbRh[[#This Row],[Gender]]="Female","Feminino","Masculino")</f>
        <v>Feminino</v>
      </c>
      <c r="AK277" t="str" cm="1">
        <f t="array" ref="AK277">_xlfn.IFS(H277="Life Sciences", "Ciências da Vida", H277="Other", "Outro", H277="Medical", "Médico", H277="Technical Degree", "Curso Técnico", H277="Marketing", "Marketing", H277="Human Resources", "Recursos Humanos")</f>
        <v>Médico</v>
      </c>
      <c r="AL277" t="str" cm="1">
        <f t="array" ref="AL2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8" spans="1:38" x14ac:dyDescent="0.25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IF(tbRh[[#This Row],[Gender]]="Female","Feminino","Masculino")</f>
        <v>Feminino</v>
      </c>
      <c r="AK278" t="str" cm="1">
        <f t="array" ref="AK278">_xlfn.IFS(H278="Life Sciences", "Ciências da Vida", H278="Other", "Outro", H278="Medical", "Médico", H278="Technical Degree", "Curso Técnico", H278="Marketing", "Marketing", H278="Human Resources", "Recursos Humanos")</f>
        <v>Ciências da Vida</v>
      </c>
      <c r="AL278" t="str" cm="1">
        <f t="array" ref="AL2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79" spans="1:38" x14ac:dyDescent="0.25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IF(tbRh[[#This Row],[Gender]]="Female","Feminino","Masculino")</f>
        <v>Feminino</v>
      </c>
      <c r="AK279" t="str" cm="1">
        <f t="array" ref="AK279">_xlfn.IFS(H279="Life Sciences", "Ciências da Vida", H279="Other", "Outro", H279="Medical", "Médico", H279="Technical Degree", "Curso Técnico", H279="Marketing", "Marketing", H279="Human Resources", "Recursos Humanos")</f>
        <v>Médico</v>
      </c>
      <c r="AL279" t="str" cm="1">
        <f t="array" ref="AL27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80" spans="1:38" x14ac:dyDescent="0.25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IF(tbRh[[#This Row],[Gender]]="Female","Feminino","Masculino")</f>
        <v>Feminino</v>
      </c>
      <c r="AK280" t="str" cm="1">
        <f t="array" ref="AK280">_xlfn.IFS(H280="Life Sciences", "Ciências da Vida", H280="Other", "Outro", H280="Medical", "Médico", H280="Technical Degree", "Curso Técnico", H280="Marketing", "Marketing", H280="Human Resources", "Recursos Humanos")</f>
        <v>Ciências da Vida</v>
      </c>
      <c r="AL280" t="str" cm="1">
        <f t="array" ref="AL2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1" spans="1:38" x14ac:dyDescent="0.25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IF(tbRh[[#This Row],[Gender]]="Female","Feminino","Masculino")</f>
        <v>Masculino</v>
      </c>
      <c r="AK281" t="str" cm="1">
        <f t="array" ref="AK281">_xlfn.IFS(H281="Life Sciences", "Ciências da Vida", H281="Other", "Outro", H281="Medical", "Médico", H281="Technical Degree", "Curso Técnico", H281="Marketing", "Marketing", H281="Human Resources", "Recursos Humanos")</f>
        <v>Ciências da Vida</v>
      </c>
      <c r="AL281" t="str" cm="1">
        <f t="array" ref="AL2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2" spans="1:38" x14ac:dyDescent="0.25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IF(tbRh[[#This Row],[Gender]]="Female","Feminino","Masculino")</f>
        <v>Masculino</v>
      </c>
      <c r="AK282" t="str" cm="1">
        <f t="array" ref="AK282">_xlfn.IFS(H282="Life Sciences", "Ciências da Vida", H282="Other", "Outro", H282="Medical", "Médico", H282="Technical Degree", "Curso Técnico", H282="Marketing", "Marketing", H282="Human Resources", "Recursos Humanos")</f>
        <v>Médico</v>
      </c>
      <c r="AL282" t="str" cm="1">
        <f t="array" ref="AL2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3" spans="1:38" x14ac:dyDescent="0.25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IF(tbRh[[#This Row],[Gender]]="Female","Feminino","Masculino")</f>
        <v>Masculino</v>
      </c>
      <c r="AK283" t="str" cm="1">
        <f t="array" ref="AK283">_xlfn.IFS(H283="Life Sciences", "Ciências da Vida", H283="Other", "Outro", H283="Medical", "Médico", H283="Technical Degree", "Curso Técnico", H283="Marketing", "Marketing", H283="Human Resources", "Recursos Humanos")</f>
        <v>Ciências da Vida</v>
      </c>
      <c r="AL283" t="str" cm="1">
        <f t="array" ref="AL28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84" spans="1:38" x14ac:dyDescent="0.25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IF(tbRh[[#This Row],[Gender]]="Female","Feminino","Masculino")</f>
        <v>Masculino</v>
      </c>
      <c r="AK284" t="str" cm="1">
        <f t="array" ref="AK284">_xlfn.IFS(H284="Life Sciences", "Ciências da Vida", H284="Other", "Outro", H284="Medical", "Médico", H284="Technical Degree", "Curso Técnico", H284="Marketing", "Marketing", H284="Human Resources", "Recursos Humanos")</f>
        <v>Ciências da Vida</v>
      </c>
      <c r="AL284" t="str" cm="1">
        <f t="array" ref="AL28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85" spans="1:38" x14ac:dyDescent="0.25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IF(tbRh[[#This Row],[Gender]]="Female","Feminino","Masculino")</f>
        <v>Masculino</v>
      </c>
      <c r="AK285" t="str" cm="1">
        <f t="array" ref="AK285">_xlfn.IFS(H285="Life Sciences", "Ciências da Vida", H285="Other", "Outro", H285="Medical", "Médico", H285="Technical Degree", "Curso Técnico", H285="Marketing", "Marketing", H285="Human Resources", "Recursos Humanos")</f>
        <v>Curso Técnico</v>
      </c>
      <c r="AL285" t="str" cm="1">
        <f t="array" ref="AL2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6" spans="1:38" x14ac:dyDescent="0.25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IF(tbRh[[#This Row],[Gender]]="Female","Feminino","Masculino")</f>
        <v>Masculino</v>
      </c>
      <c r="AK286" t="str" cm="1">
        <f t="array" ref="AK286">_xlfn.IFS(H286="Life Sciences", "Ciências da Vida", H286="Other", "Outro", H286="Medical", "Médico", H286="Technical Degree", "Curso Técnico", H286="Marketing", "Marketing", H286="Human Resources", "Recursos Humanos")</f>
        <v>Médico</v>
      </c>
      <c r="AL286" t="str" cm="1">
        <f t="array" ref="AL2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7" spans="1:38" x14ac:dyDescent="0.25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IF(tbRh[[#This Row],[Gender]]="Female","Feminino","Masculino")</f>
        <v>Feminino</v>
      </c>
      <c r="AK287" t="str" cm="1">
        <f t="array" ref="AK287">_xlfn.IFS(H287="Life Sciences", "Ciências da Vida", H287="Other", "Outro", H287="Medical", "Médico", H287="Technical Degree", "Curso Técnico", H287="Marketing", "Marketing", H287="Human Resources", "Recursos Humanos")</f>
        <v>Ciências da Vida</v>
      </c>
      <c r="AL287" t="str" cm="1">
        <f t="array" ref="AL2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8" spans="1:38" x14ac:dyDescent="0.25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IF(tbRh[[#This Row],[Gender]]="Female","Feminino","Masculino")</f>
        <v>Masculino</v>
      </c>
      <c r="AK288" t="str" cm="1">
        <f t="array" ref="AK288">_xlfn.IFS(H288="Life Sciences", "Ciências da Vida", H288="Other", "Outro", H288="Medical", "Médico", H288="Technical Degree", "Curso Técnico", H288="Marketing", "Marketing", H288="Human Resources", "Recursos Humanos")</f>
        <v>Ciências da Vida</v>
      </c>
      <c r="AL288" t="str" cm="1">
        <f t="array" ref="AL2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89" spans="1:38" x14ac:dyDescent="0.25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IF(tbRh[[#This Row],[Gender]]="Female","Feminino","Masculino")</f>
        <v>Masculino</v>
      </c>
      <c r="AK289" t="str" cm="1">
        <f t="array" ref="AK289">_xlfn.IFS(H289="Life Sciences", "Ciências da Vida", H289="Other", "Outro", H289="Medical", "Médico", H289="Technical Degree", "Curso Técnico", H289="Marketing", "Marketing", H289="Human Resources", "Recursos Humanos")</f>
        <v>Ciências da Vida</v>
      </c>
      <c r="AL289" t="str" cm="1">
        <f t="array" ref="AL2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0" spans="1:38" x14ac:dyDescent="0.25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IF(tbRh[[#This Row],[Gender]]="Female","Feminino","Masculino")</f>
        <v>Masculino</v>
      </c>
      <c r="AK290" t="str" cm="1">
        <f t="array" ref="AK290">_xlfn.IFS(H290="Life Sciences", "Ciências da Vida", H290="Other", "Outro", H290="Medical", "Médico", H290="Technical Degree", "Curso Técnico", H290="Marketing", "Marketing", H290="Human Resources", "Recursos Humanos")</f>
        <v>Médico</v>
      </c>
      <c r="AL290" t="str" cm="1">
        <f t="array" ref="AL2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1" spans="1:38" x14ac:dyDescent="0.25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IF(tbRh[[#This Row],[Gender]]="Female","Feminino","Masculino")</f>
        <v>Feminino</v>
      </c>
      <c r="AK291" t="str" cm="1">
        <f t="array" ref="AK291">_xlfn.IFS(H291="Life Sciences", "Ciências da Vida", H291="Other", "Outro", H291="Medical", "Médico", H291="Technical Degree", "Curso Técnico", H291="Marketing", "Marketing", H291="Human Resources", "Recursos Humanos")</f>
        <v>Ciências da Vida</v>
      </c>
      <c r="AL291" t="str" cm="1">
        <f t="array" ref="AL2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2" spans="1:38" x14ac:dyDescent="0.25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IF(tbRh[[#This Row],[Gender]]="Female","Feminino","Masculino")</f>
        <v>Feminino</v>
      </c>
      <c r="AK292" t="str" cm="1">
        <f t="array" ref="AK292">_xlfn.IFS(H292="Life Sciences", "Ciências da Vida", H292="Other", "Outro", H292="Medical", "Médico", H292="Technical Degree", "Curso Técnico", H292="Marketing", "Marketing", H292="Human Resources", "Recursos Humanos")</f>
        <v>Ciências da Vida</v>
      </c>
      <c r="AL292" t="str" cm="1">
        <f t="array" ref="AL2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3" spans="1:38" x14ac:dyDescent="0.25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IF(tbRh[[#This Row],[Gender]]="Female","Feminino","Masculino")</f>
        <v>Masculino</v>
      </c>
      <c r="AK293" t="str" cm="1">
        <f t="array" ref="AK293">_xlfn.IFS(H293="Life Sciences", "Ciências da Vida", H293="Other", "Outro", H293="Medical", "Médico", H293="Technical Degree", "Curso Técnico", H293="Marketing", "Marketing", H293="Human Resources", "Recursos Humanos")</f>
        <v>Curso Técnico</v>
      </c>
      <c r="AL293" t="str" cm="1">
        <f t="array" ref="AL2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4" spans="1:38" x14ac:dyDescent="0.25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IF(tbRh[[#This Row],[Gender]]="Female","Feminino","Masculino")</f>
        <v>Feminino</v>
      </c>
      <c r="AK294" t="str" cm="1">
        <f t="array" ref="AK294">_xlfn.IFS(H294="Life Sciences", "Ciências da Vida", H294="Other", "Outro", H294="Medical", "Médico", H294="Technical Degree", "Curso Técnico", H294="Marketing", "Marketing", H294="Human Resources", "Recursos Humanos")</f>
        <v>Marketing</v>
      </c>
      <c r="AL294" t="str" cm="1">
        <f t="array" ref="AL29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95" spans="1:38" x14ac:dyDescent="0.25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IF(tbRh[[#This Row],[Gender]]="Female","Feminino","Masculino")</f>
        <v>Masculino</v>
      </c>
      <c r="AK295" t="str" cm="1">
        <f t="array" ref="AK295">_xlfn.IFS(H295="Life Sciences", "Ciências da Vida", H295="Other", "Outro", H295="Medical", "Médico", H295="Technical Degree", "Curso Técnico", H295="Marketing", "Marketing", H295="Human Resources", "Recursos Humanos")</f>
        <v>Marketing</v>
      </c>
      <c r="AL295" t="str" cm="1">
        <f t="array" ref="AL29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96" spans="1:38" x14ac:dyDescent="0.25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IF(tbRh[[#This Row],[Gender]]="Female","Feminino","Masculino")</f>
        <v>Masculino</v>
      </c>
      <c r="AK296" t="str" cm="1">
        <f t="array" ref="AK296">_xlfn.IFS(H296="Life Sciences", "Ciências da Vida", H296="Other", "Outro", H296="Medical", "Médico", H296="Technical Degree", "Curso Técnico", H296="Marketing", "Marketing", H296="Human Resources", "Recursos Humanos")</f>
        <v>Médico</v>
      </c>
      <c r="AL296" t="str" cm="1">
        <f t="array" ref="AL2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7" spans="1:38" x14ac:dyDescent="0.25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IF(tbRh[[#This Row],[Gender]]="Female","Feminino","Masculino")</f>
        <v>Feminino</v>
      </c>
      <c r="AK297" t="str" cm="1">
        <f t="array" ref="AK297">_xlfn.IFS(H297="Life Sciences", "Ciências da Vida", H297="Other", "Outro", H297="Medical", "Médico", H297="Technical Degree", "Curso Técnico", H297="Marketing", "Marketing", H297="Human Resources", "Recursos Humanos")</f>
        <v>Marketing</v>
      </c>
      <c r="AL297" t="str" cm="1">
        <f t="array" ref="AL29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298" spans="1:38" x14ac:dyDescent="0.25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IF(tbRh[[#This Row],[Gender]]="Female","Feminino","Masculino")</f>
        <v>Masculino</v>
      </c>
      <c r="AK298" t="str" cm="1">
        <f t="array" ref="AK298">_xlfn.IFS(H298="Life Sciences", "Ciências da Vida", H298="Other", "Outro", H298="Medical", "Médico", H298="Technical Degree", "Curso Técnico", H298="Marketing", "Marketing", H298="Human Resources", "Recursos Humanos")</f>
        <v>Ciências da Vida</v>
      </c>
      <c r="AL298" t="str" cm="1">
        <f t="array" ref="AL2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299" spans="1:38" x14ac:dyDescent="0.25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IF(tbRh[[#This Row],[Gender]]="Female","Feminino","Masculino")</f>
        <v>Masculino</v>
      </c>
      <c r="AK299" t="str" cm="1">
        <f t="array" ref="AK299">_xlfn.IFS(H299="Life Sciences", "Ciências da Vida", H299="Other", "Outro", H299="Medical", "Médico", H299="Technical Degree", "Curso Técnico", H299="Marketing", "Marketing", H299="Human Resources", "Recursos Humanos")</f>
        <v>Marketing</v>
      </c>
      <c r="AL299" t="str" cm="1">
        <f t="array" ref="AL29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00" spans="1:38" x14ac:dyDescent="0.25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IF(tbRh[[#This Row],[Gender]]="Female","Feminino","Masculino")</f>
        <v>Masculino</v>
      </c>
      <c r="AK300" t="str" cm="1">
        <f t="array" ref="AK300">_xlfn.IFS(H300="Life Sciences", "Ciências da Vida", H300="Other", "Outro", H300="Medical", "Médico", H300="Technical Degree", "Curso Técnico", H300="Marketing", "Marketing", H300="Human Resources", "Recursos Humanos")</f>
        <v>Ciências da Vida</v>
      </c>
      <c r="AL300" t="str" cm="1">
        <f t="array" ref="AL3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01" spans="1:38" x14ac:dyDescent="0.25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IF(tbRh[[#This Row],[Gender]]="Female","Feminino","Masculino")</f>
        <v>Masculino</v>
      </c>
      <c r="AK301" t="str" cm="1">
        <f t="array" ref="AK301">_xlfn.IFS(H301="Life Sciences", "Ciências da Vida", H301="Other", "Outro", H301="Medical", "Médico", H301="Technical Degree", "Curso Técnico", H301="Marketing", "Marketing", H301="Human Resources", "Recursos Humanos")</f>
        <v>Médico</v>
      </c>
      <c r="AL301" t="str" cm="1">
        <f t="array" ref="AL3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02" spans="1:38" x14ac:dyDescent="0.25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IF(tbRh[[#This Row],[Gender]]="Female","Feminino","Masculino")</f>
        <v>Masculino</v>
      </c>
      <c r="AK302" t="str" cm="1">
        <f t="array" ref="AK302">_xlfn.IFS(H302="Life Sciences", "Ciências da Vida", H302="Other", "Outro", H302="Medical", "Médico", H302="Technical Degree", "Curso Técnico", H302="Marketing", "Marketing", H302="Human Resources", "Recursos Humanos")</f>
        <v>Ciências da Vida</v>
      </c>
      <c r="AL302" t="str" cm="1">
        <f t="array" ref="AL30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03" spans="1:38" x14ac:dyDescent="0.25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IF(tbRh[[#This Row],[Gender]]="Female","Feminino","Masculino")</f>
        <v>Feminino</v>
      </c>
      <c r="AK303" t="str" cm="1">
        <f t="array" ref="AK303">_xlfn.IFS(H303="Life Sciences", "Ciências da Vida", H303="Other", "Outro", H303="Medical", "Médico", H303="Technical Degree", "Curso Técnico", H303="Marketing", "Marketing", H303="Human Resources", "Recursos Humanos")</f>
        <v>Médico</v>
      </c>
      <c r="AL303" t="str" cm="1">
        <f t="array" ref="AL30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04" spans="1:38" x14ac:dyDescent="0.25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IF(tbRh[[#This Row],[Gender]]="Female","Feminino","Masculino")</f>
        <v>Masculino</v>
      </c>
      <c r="AK304" t="str" cm="1">
        <f t="array" ref="AK304">_xlfn.IFS(H304="Life Sciences", "Ciências da Vida", H304="Other", "Outro", H304="Medical", "Médico", H304="Technical Degree", "Curso Técnico", H304="Marketing", "Marketing", H304="Human Resources", "Recursos Humanos")</f>
        <v>Médico</v>
      </c>
      <c r="AL304" t="str" cm="1">
        <f t="array" ref="AL3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05" spans="1:38" x14ac:dyDescent="0.25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IF(tbRh[[#This Row],[Gender]]="Female","Feminino","Masculino")</f>
        <v>Masculino</v>
      </c>
      <c r="AK305" t="str" cm="1">
        <f t="array" ref="AK305">_xlfn.IFS(H305="Life Sciences", "Ciências da Vida", H305="Other", "Outro", H305="Medical", "Médico", H305="Technical Degree", "Curso Técnico", H305="Marketing", "Marketing", H305="Human Resources", "Recursos Humanos")</f>
        <v>Curso Técnico</v>
      </c>
      <c r="AL305" t="str" cm="1">
        <f t="array" ref="AL30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06" spans="1:38" x14ac:dyDescent="0.25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IF(tbRh[[#This Row],[Gender]]="Female","Feminino","Masculino")</f>
        <v>Masculino</v>
      </c>
      <c r="AK306" t="str" cm="1">
        <f t="array" ref="AK306">_xlfn.IFS(H306="Life Sciences", "Ciências da Vida", H306="Other", "Outro", H306="Medical", "Médico", H306="Technical Degree", "Curso Técnico", H306="Marketing", "Marketing", H306="Human Resources", "Recursos Humanos")</f>
        <v>Médico</v>
      </c>
      <c r="AL306" t="str" cm="1">
        <f t="array" ref="AL3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07" spans="1:38" x14ac:dyDescent="0.25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IF(tbRh[[#This Row],[Gender]]="Female","Feminino","Masculino")</f>
        <v>Feminino</v>
      </c>
      <c r="AK307" t="str" cm="1">
        <f t="array" ref="AK307">_xlfn.IFS(H307="Life Sciences", "Ciências da Vida", H307="Other", "Outro", H307="Medical", "Médico", H307="Technical Degree", "Curso Técnico", H307="Marketing", "Marketing", H307="Human Resources", "Recursos Humanos")</f>
        <v>Ciências da Vida</v>
      </c>
      <c r="AL307" t="str" cm="1">
        <f t="array" ref="AL3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08" spans="1:38" x14ac:dyDescent="0.25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IF(tbRh[[#This Row],[Gender]]="Female","Feminino","Masculino")</f>
        <v>Masculino</v>
      </c>
      <c r="AK308" t="str" cm="1">
        <f t="array" ref="AK308">_xlfn.IFS(H308="Life Sciences", "Ciências da Vida", H308="Other", "Outro", H308="Medical", "Médico", H308="Technical Degree", "Curso Técnico", H308="Marketing", "Marketing", H308="Human Resources", "Recursos Humanos")</f>
        <v>Ciências da Vida</v>
      </c>
      <c r="AL308" t="str" cm="1">
        <f t="array" ref="AL30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09" spans="1:38" x14ac:dyDescent="0.25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IF(tbRh[[#This Row],[Gender]]="Female","Feminino","Masculino")</f>
        <v>Feminino</v>
      </c>
      <c r="AK309" t="str" cm="1">
        <f t="array" ref="AK309">_xlfn.IFS(H309="Life Sciences", "Ciências da Vida", H309="Other", "Outro", H309="Medical", "Médico", H309="Technical Degree", "Curso Técnico", H309="Marketing", "Marketing", H309="Human Resources", "Recursos Humanos")</f>
        <v>Ciências da Vida</v>
      </c>
      <c r="AL309" t="str" cm="1">
        <f t="array" ref="AL3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0" spans="1:38" x14ac:dyDescent="0.25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IF(tbRh[[#This Row],[Gender]]="Female","Feminino","Masculino")</f>
        <v>Masculino</v>
      </c>
      <c r="AK310" t="str" cm="1">
        <f t="array" ref="AK310">_xlfn.IFS(H310="Life Sciences", "Ciências da Vida", H310="Other", "Outro", H310="Medical", "Médico", H310="Technical Degree", "Curso Técnico", H310="Marketing", "Marketing", H310="Human Resources", "Recursos Humanos")</f>
        <v>Ciências da Vida</v>
      </c>
      <c r="AL310" t="str" cm="1">
        <f t="array" ref="AL3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1" spans="1:38" x14ac:dyDescent="0.25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IF(tbRh[[#This Row],[Gender]]="Female","Feminino","Masculino")</f>
        <v>Masculino</v>
      </c>
      <c r="AK311" t="str" cm="1">
        <f t="array" ref="AK311">_xlfn.IFS(H311="Life Sciences", "Ciências da Vida", H311="Other", "Outro", H311="Medical", "Médico", H311="Technical Degree", "Curso Técnico", H311="Marketing", "Marketing", H311="Human Resources", "Recursos Humanos")</f>
        <v>Curso Técnico</v>
      </c>
      <c r="AL311" t="str" cm="1">
        <f t="array" ref="AL3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2" spans="1:38" x14ac:dyDescent="0.25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IF(tbRh[[#This Row],[Gender]]="Female","Feminino","Masculino")</f>
        <v>Masculino</v>
      </c>
      <c r="AK312" t="str" cm="1">
        <f t="array" ref="AK312">_xlfn.IFS(H312="Life Sciences", "Ciências da Vida", H312="Other", "Outro", H312="Medical", "Médico", H312="Technical Degree", "Curso Técnico", H312="Marketing", "Marketing", H312="Human Resources", "Recursos Humanos")</f>
        <v>Recursos Humanos</v>
      </c>
      <c r="AL312" t="str" cm="1">
        <f t="array" ref="AL31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313" spans="1:38" x14ac:dyDescent="0.25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IF(tbRh[[#This Row],[Gender]]="Female","Feminino","Masculino")</f>
        <v>Masculino</v>
      </c>
      <c r="AK313" t="str" cm="1">
        <f t="array" ref="AK313">_xlfn.IFS(H313="Life Sciences", "Ciências da Vida", H313="Other", "Outro", H313="Medical", "Médico", H313="Technical Degree", "Curso Técnico", H313="Marketing", "Marketing", H313="Human Resources", "Recursos Humanos")</f>
        <v>Ciências da Vida</v>
      </c>
      <c r="AL313" t="str" cm="1">
        <f t="array" ref="AL3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4" spans="1:38" x14ac:dyDescent="0.25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IF(tbRh[[#This Row],[Gender]]="Female","Feminino","Masculino")</f>
        <v>Masculino</v>
      </c>
      <c r="AK314" t="str" cm="1">
        <f t="array" ref="AK314">_xlfn.IFS(H314="Life Sciences", "Ciências da Vida", H314="Other", "Outro", H314="Medical", "Médico", H314="Technical Degree", "Curso Técnico", H314="Marketing", "Marketing", H314="Human Resources", "Recursos Humanos")</f>
        <v>Ciências da Vida</v>
      </c>
      <c r="AL314" t="str" cm="1">
        <f t="array" ref="AL3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5" spans="1:38" x14ac:dyDescent="0.25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IF(tbRh[[#This Row],[Gender]]="Female","Feminino","Masculino")</f>
        <v>Feminino</v>
      </c>
      <c r="AK315" t="str" cm="1">
        <f t="array" ref="AK315">_xlfn.IFS(H315="Life Sciences", "Ciências da Vida", H315="Other", "Outro", H315="Medical", "Médico", H315="Technical Degree", "Curso Técnico", H315="Marketing", "Marketing", H315="Human Resources", "Recursos Humanos")</f>
        <v>Ciências da Vida</v>
      </c>
      <c r="AL315" t="str" cm="1">
        <f t="array" ref="AL3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6" spans="1:38" x14ac:dyDescent="0.25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IF(tbRh[[#This Row],[Gender]]="Female","Feminino","Masculino")</f>
        <v>Masculino</v>
      </c>
      <c r="AK316" t="str" cm="1">
        <f t="array" ref="AK316">_xlfn.IFS(H316="Life Sciences", "Ciências da Vida", H316="Other", "Outro", H316="Medical", "Médico", H316="Technical Degree", "Curso Técnico", H316="Marketing", "Marketing", H316="Human Resources", "Recursos Humanos")</f>
        <v>Médico</v>
      </c>
      <c r="AL316" t="str" cm="1">
        <f t="array" ref="AL3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7" spans="1:38" x14ac:dyDescent="0.25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IF(tbRh[[#This Row],[Gender]]="Female","Feminino","Masculino")</f>
        <v>Feminino</v>
      </c>
      <c r="AK317" t="str" cm="1">
        <f t="array" ref="AK317">_xlfn.IFS(H317="Life Sciences", "Ciências da Vida", H317="Other", "Outro", H317="Medical", "Médico", H317="Technical Degree", "Curso Técnico", H317="Marketing", "Marketing", H317="Human Resources", "Recursos Humanos")</f>
        <v>Ciências da Vida</v>
      </c>
      <c r="AL317" t="str" cm="1">
        <f t="array" ref="AL3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8" spans="1:38" x14ac:dyDescent="0.25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IF(tbRh[[#This Row],[Gender]]="Female","Feminino","Masculino")</f>
        <v>Feminino</v>
      </c>
      <c r="AK318" t="str" cm="1">
        <f t="array" ref="AK318">_xlfn.IFS(H318="Life Sciences", "Ciências da Vida", H318="Other", "Outro", H318="Medical", "Médico", H318="Technical Degree", "Curso Técnico", H318="Marketing", "Marketing", H318="Human Resources", "Recursos Humanos")</f>
        <v>Curso Técnico</v>
      </c>
      <c r="AL318" t="str" cm="1">
        <f t="array" ref="AL3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19" spans="1:38" x14ac:dyDescent="0.25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IF(tbRh[[#This Row],[Gender]]="Female","Feminino","Masculino")</f>
        <v>Masculino</v>
      </c>
      <c r="AK319" t="str" cm="1">
        <f t="array" ref="AK319">_xlfn.IFS(H319="Life Sciences", "Ciências da Vida", H319="Other", "Outro", H319="Medical", "Médico", H319="Technical Degree", "Curso Técnico", H319="Marketing", "Marketing", H319="Human Resources", "Recursos Humanos")</f>
        <v>Médico</v>
      </c>
      <c r="AL319" t="str" cm="1">
        <f t="array" ref="AL3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0" spans="1:38" x14ac:dyDescent="0.25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IF(tbRh[[#This Row],[Gender]]="Female","Feminino","Masculino")</f>
        <v>Feminino</v>
      </c>
      <c r="AK320" t="str" cm="1">
        <f t="array" ref="AK320">_xlfn.IFS(H320="Life Sciences", "Ciências da Vida", H320="Other", "Outro", H320="Medical", "Médico", H320="Technical Degree", "Curso Técnico", H320="Marketing", "Marketing", H320="Human Resources", "Recursos Humanos")</f>
        <v>Ciências da Vida</v>
      </c>
      <c r="AL320" t="str" cm="1">
        <f t="array" ref="AL3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1" spans="1:38" x14ac:dyDescent="0.25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IF(tbRh[[#This Row],[Gender]]="Female","Feminino","Masculino")</f>
        <v>Feminino</v>
      </c>
      <c r="AK321" t="str" cm="1">
        <f t="array" ref="AK321">_xlfn.IFS(H321="Life Sciences", "Ciências da Vida", H321="Other", "Outro", H321="Medical", "Médico", H321="Technical Degree", "Curso Técnico", H321="Marketing", "Marketing", H321="Human Resources", "Recursos Humanos")</f>
        <v>Curso Técnico</v>
      </c>
      <c r="AL321" t="str" cm="1">
        <f t="array" ref="AL3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22" spans="1:38" x14ac:dyDescent="0.25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IF(tbRh[[#This Row],[Gender]]="Female","Feminino","Masculino")</f>
        <v>Masculino</v>
      </c>
      <c r="AK322" t="str" cm="1">
        <f t="array" ref="AK322">_xlfn.IFS(H322="Life Sciences", "Ciências da Vida", H322="Other", "Outro", H322="Medical", "Médico", H322="Technical Degree", "Curso Técnico", H322="Marketing", "Marketing", H322="Human Resources", "Recursos Humanos")</f>
        <v>Ciências da Vida</v>
      </c>
      <c r="AL322" t="str" cm="1">
        <f t="array" ref="AL32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23" spans="1:38" x14ac:dyDescent="0.25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IF(tbRh[[#This Row],[Gender]]="Female","Feminino","Masculino")</f>
        <v>Masculino</v>
      </c>
      <c r="AK323" t="str" cm="1">
        <f t="array" ref="AK323">_xlfn.IFS(H323="Life Sciences", "Ciências da Vida", H323="Other", "Outro", H323="Medical", "Médico", H323="Technical Degree", "Curso Técnico", H323="Marketing", "Marketing", H323="Human Resources", "Recursos Humanos")</f>
        <v>Marketing</v>
      </c>
      <c r="AL323" t="str" cm="1">
        <f t="array" ref="AL3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24" spans="1:38" x14ac:dyDescent="0.25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IF(tbRh[[#This Row],[Gender]]="Female","Feminino","Masculino")</f>
        <v>Feminino</v>
      </c>
      <c r="AK324" t="str" cm="1">
        <f t="array" ref="AK324">_xlfn.IFS(H324="Life Sciences", "Ciências da Vida", H324="Other", "Outro", H324="Medical", "Médico", H324="Technical Degree", "Curso Técnico", H324="Marketing", "Marketing", H324="Human Resources", "Recursos Humanos")</f>
        <v>Médico</v>
      </c>
      <c r="AL324" t="str" cm="1">
        <f t="array" ref="AL3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5" spans="1:38" x14ac:dyDescent="0.25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IF(tbRh[[#This Row],[Gender]]="Female","Feminino","Masculino")</f>
        <v>Masculino</v>
      </c>
      <c r="AK325" t="str" cm="1">
        <f t="array" ref="AK325">_xlfn.IFS(H325="Life Sciences", "Ciências da Vida", H325="Other", "Outro", H325="Medical", "Médico", H325="Technical Degree", "Curso Técnico", H325="Marketing", "Marketing", H325="Human Resources", "Recursos Humanos")</f>
        <v>Médico</v>
      </c>
      <c r="AL325" t="str" cm="1">
        <f t="array" ref="AL3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6" spans="1:38" x14ac:dyDescent="0.25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IF(tbRh[[#This Row],[Gender]]="Female","Feminino","Masculino")</f>
        <v>Feminino</v>
      </c>
      <c r="AK326" t="str" cm="1">
        <f t="array" ref="AK326">_xlfn.IFS(H326="Life Sciences", "Ciências da Vida", H326="Other", "Outro", H326="Medical", "Médico", H326="Technical Degree", "Curso Técnico", H326="Marketing", "Marketing", H326="Human Resources", "Recursos Humanos")</f>
        <v>Médico</v>
      </c>
      <c r="AL326" t="str" cm="1">
        <f t="array" ref="AL3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7" spans="1:38" x14ac:dyDescent="0.25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IF(tbRh[[#This Row],[Gender]]="Female","Feminino","Masculino")</f>
        <v>Feminino</v>
      </c>
      <c r="AK327" t="str" cm="1">
        <f t="array" ref="AK327">_xlfn.IFS(H327="Life Sciences", "Ciências da Vida", H327="Other", "Outro", H327="Medical", "Médico", H327="Technical Degree", "Curso Técnico", H327="Marketing", "Marketing", H327="Human Resources", "Recursos Humanos")</f>
        <v>Ciências da Vida</v>
      </c>
      <c r="AL327" t="str" cm="1">
        <f t="array" ref="AL3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8" spans="1:38" x14ac:dyDescent="0.25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IF(tbRh[[#This Row],[Gender]]="Female","Feminino","Masculino")</f>
        <v>Masculino</v>
      </c>
      <c r="AK328" t="str" cm="1">
        <f t="array" ref="AK328">_xlfn.IFS(H328="Life Sciences", "Ciências da Vida", H328="Other", "Outro", H328="Medical", "Médico", H328="Technical Degree", "Curso Técnico", H328="Marketing", "Marketing", H328="Human Resources", "Recursos Humanos")</f>
        <v>Médico</v>
      </c>
      <c r="AL328" t="str" cm="1">
        <f t="array" ref="AL3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29" spans="1:38" x14ac:dyDescent="0.25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IF(tbRh[[#This Row],[Gender]]="Female","Feminino","Masculino")</f>
        <v>Feminino</v>
      </c>
      <c r="AK329" t="str" cm="1">
        <f t="array" ref="AK329">_xlfn.IFS(H329="Life Sciences", "Ciências da Vida", H329="Other", "Outro", H329="Medical", "Médico", H329="Technical Degree", "Curso Técnico", H329="Marketing", "Marketing", H329="Human Resources", "Recursos Humanos")</f>
        <v>Médico</v>
      </c>
      <c r="AL329" t="str" cm="1">
        <f t="array" ref="AL3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30" spans="1:38" x14ac:dyDescent="0.25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IF(tbRh[[#This Row],[Gender]]="Female","Feminino","Masculino")</f>
        <v>Masculino</v>
      </c>
      <c r="AK330" t="str" cm="1">
        <f t="array" ref="AK330">_xlfn.IFS(H330="Life Sciences", "Ciências da Vida", H330="Other", "Outro", H330="Medical", "Médico", H330="Technical Degree", "Curso Técnico", H330="Marketing", "Marketing", H330="Human Resources", "Recursos Humanos")</f>
        <v>Marketing</v>
      </c>
      <c r="AL330" t="str" cm="1">
        <f t="array" ref="AL33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31" spans="1:38" x14ac:dyDescent="0.25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IF(tbRh[[#This Row],[Gender]]="Female","Feminino","Masculino")</f>
        <v>Masculino</v>
      </c>
      <c r="AK331" t="str" cm="1">
        <f t="array" ref="AK331">_xlfn.IFS(H331="Life Sciences", "Ciências da Vida", H331="Other", "Outro", H331="Medical", "Médico", H331="Technical Degree", "Curso Técnico", H331="Marketing", "Marketing", H331="Human Resources", "Recursos Humanos")</f>
        <v>Ciências da Vida</v>
      </c>
      <c r="AL331" t="str" cm="1">
        <f t="array" ref="AL3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2" spans="1:38" x14ac:dyDescent="0.25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IF(tbRh[[#This Row],[Gender]]="Female","Feminino","Masculino")</f>
        <v>Feminino</v>
      </c>
      <c r="AK332" t="str" cm="1">
        <f t="array" ref="AK332">_xlfn.IFS(H332="Life Sciences", "Ciências da Vida", H332="Other", "Outro", H332="Medical", "Médico", H332="Technical Degree", "Curso Técnico", H332="Marketing", "Marketing", H332="Human Resources", "Recursos Humanos")</f>
        <v>Ciências da Vida</v>
      </c>
      <c r="AL332" t="str" cm="1">
        <f t="array" ref="AL3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3" spans="1:38" x14ac:dyDescent="0.25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IF(tbRh[[#This Row],[Gender]]="Female","Feminino","Masculino")</f>
        <v>Masculino</v>
      </c>
      <c r="AK333" t="str" cm="1">
        <f t="array" ref="AK333">_xlfn.IFS(H333="Life Sciences", "Ciências da Vida", H333="Other", "Outro", H333="Medical", "Médico", H333="Technical Degree", "Curso Técnico", H333="Marketing", "Marketing", H333="Human Resources", "Recursos Humanos")</f>
        <v>Marketing</v>
      </c>
      <c r="AL333" t="str" cm="1">
        <f t="array" ref="AL33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34" spans="1:38" x14ac:dyDescent="0.25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IF(tbRh[[#This Row],[Gender]]="Female","Feminino","Masculino")</f>
        <v>Feminino</v>
      </c>
      <c r="AK334" t="str" cm="1">
        <f t="array" ref="AK334">_xlfn.IFS(H334="Life Sciences", "Ciências da Vida", H334="Other", "Outro", H334="Medical", "Médico", H334="Technical Degree", "Curso Técnico", H334="Marketing", "Marketing", H334="Human Resources", "Recursos Humanos")</f>
        <v>Ciências da Vida</v>
      </c>
      <c r="AL334" t="str" cm="1">
        <f t="array" ref="AL3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5" spans="1:38" x14ac:dyDescent="0.25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IF(tbRh[[#This Row],[Gender]]="Female","Feminino","Masculino")</f>
        <v>Feminino</v>
      </c>
      <c r="AK335" t="str" cm="1">
        <f t="array" ref="AK335">_xlfn.IFS(H335="Life Sciences", "Ciências da Vida", H335="Other", "Outro", H335="Medical", "Médico", H335="Technical Degree", "Curso Técnico", H335="Marketing", "Marketing", H335="Human Resources", "Recursos Humanos")</f>
        <v>Ciências da Vida</v>
      </c>
      <c r="AL335" t="str" cm="1">
        <f t="array" ref="AL3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6" spans="1:38" x14ac:dyDescent="0.25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IF(tbRh[[#This Row],[Gender]]="Female","Feminino","Masculino")</f>
        <v>Masculino</v>
      </c>
      <c r="AK336" t="str" cm="1">
        <f t="array" ref="AK336">_xlfn.IFS(H336="Life Sciences", "Ciências da Vida", H336="Other", "Outro", H336="Medical", "Médico", H336="Technical Degree", "Curso Técnico", H336="Marketing", "Marketing", H336="Human Resources", "Recursos Humanos")</f>
        <v>Outro</v>
      </c>
      <c r="AL336" t="str" cm="1">
        <f t="array" ref="AL3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7" spans="1:38" x14ac:dyDescent="0.25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IF(tbRh[[#This Row],[Gender]]="Female","Feminino","Masculino")</f>
        <v>Masculino</v>
      </c>
      <c r="AK337" t="str" cm="1">
        <f t="array" ref="AK337">_xlfn.IFS(H337="Life Sciences", "Ciências da Vida", H337="Other", "Outro", H337="Medical", "Médico", H337="Technical Degree", "Curso Técnico", H337="Marketing", "Marketing", H337="Human Resources", "Recursos Humanos")</f>
        <v>Médico</v>
      </c>
      <c r="AL337" t="str" cm="1">
        <f t="array" ref="AL33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38" spans="1:38" x14ac:dyDescent="0.25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IF(tbRh[[#This Row],[Gender]]="Female","Feminino","Masculino")</f>
        <v>Masculino</v>
      </c>
      <c r="AK338" t="str" cm="1">
        <f t="array" ref="AK338">_xlfn.IFS(H338="Life Sciences", "Ciências da Vida", H338="Other", "Outro", H338="Medical", "Médico", H338="Technical Degree", "Curso Técnico", H338="Marketing", "Marketing", H338="Human Resources", "Recursos Humanos")</f>
        <v>Outro</v>
      </c>
      <c r="AL338" t="str" cm="1">
        <f t="array" ref="AL3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39" spans="1:38" x14ac:dyDescent="0.25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IF(tbRh[[#This Row],[Gender]]="Female","Feminino","Masculino")</f>
        <v>Masculino</v>
      </c>
      <c r="AK339" t="str" cm="1">
        <f t="array" ref="AK339">_xlfn.IFS(H339="Life Sciences", "Ciências da Vida", H339="Other", "Outro", H339="Medical", "Médico", H339="Technical Degree", "Curso Técnico", H339="Marketing", "Marketing", H339="Human Resources", "Recursos Humanos")</f>
        <v>Outro</v>
      </c>
      <c r="AL339" t="str" cm="1">
        <f t="array" ref="AL3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0" spans="1:38" x14ac:dyDescent="0.25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IF(tbRh[[#This Row],[Gender]]="Female","Feminino","Masculino")</f>
        <v>Feminino</v>
      </c>
      <c r="AK340" t="str" cm="1">
        <f t="array" ref="AK340">_xlfn.IFS(H340="Life Sciences", "Ciências da Vida", H340="Other", "Outro", H340="Medical", "Médico", H340="Technical Degree", "Curso Técnico", H340="Marketing", "Marketing", H340="Human Resources", "Recursos Humanos")</f>
        <v>Marketing</v>
      </c>
      <c r="AL340" t="str" cm="1">
        <f t="array" ref="AL3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41" spans="1:38" x14ac:dyDescent="0.25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IF(tbRh[[#This Row],[Gender]]="Female","Feminino","Masculino")</f>
        <v>Feminino</v>
      </c>
      <c r="AK341" t="str" cm="1">
        <f t="array" ref="AK341">_xlfn.IFS(H341="Life Sciences", "Ciências da Vida", H341="Other", "Outro", H341="Medical", "Médico", H341="Technical Degree", "Curso Técnico", H341="Marketing", "Marketing", H341="Human Resources", "Recursos Humanos")</f>
        <v>Marketing</v>
      </c>
      <c r="AL341" t="str" cm="1">
        <f t="array" ref="AL34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42" spans="1:38" x14ac:dyDescent="0.25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IF(tbRh[[#This Row],[Gender]]="Female","Feminino","Masculino")</f>
        <v>Masculino</v>
      </c>
      <c r="AK342" t="str" cm="1">
        <f t="array" ref="AK342">_xlfn.IFS(H342="Life Sciences", "Ciências da Vida", H342="Other", "Outro", H342="Medical", "Médico", H342="Technical Degree", "Curso Técnico", H342="Marketing", "Marketing", H342="Human Resources", "Recursos Humanos")</f>
        <v>Médico</v>
      </c>
      <c r="AL342" t="str" cm="1">
        <f t="array" ref="AL3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3" spans="1:38" x14ac:dyDescent="0.25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IF(tbRh[[#This Row],[Gender]]="Female","Feminino","Masculino")</f>
        <v>Masculino</v>
      </c>
      <c r="AK343" t="str" cm="1">
        <f t="array" ref="AK343">_xlfn.IFS(H343="Life Sciences", "Ciências da Vida", H343="Other", "Outro", H343="Medical", "Médico", H343="Technical Degree", "Curso Técnico", H343="Marketing", "Marketing", H343="Human Resources", "Recursos Humanos")</f>
        <v>Ciências da Vida</v>
      </c>
      <c r="AL343" t="str" cm="1">
        <f t="array" ref="AL3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4" spans="1:38" x14ac:dyDescent="0.25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IF(tbRh[[#This Row],[Gender]]="Female","Feminino","Masculino")</f>
        <v>Feminino</v>
      </c>
      <c r="AK344" t="str" cm="1">
        <f t="array" ref="AK344">_xlfn.IFS(H344="Life Sciences", "Ciências da Vida", H344="Other", "Outro", H344="Medical", "Médico", H344="Technical Degree", "Curso Técnico", H344="Marketing", "Marketing", H344="Human Resources", "Recursos Humanos")</f>
        <v>Médico</v>
      </c>
      <c r="AL344" t="str" cm="1">
        <f t="array" ref="AL3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5" spans="1:38" x14ac:dyDescent="0.25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IF(tbRh[[#This Row],[Gender]]="Female","Feminino","Masculino")</f>
        <v>Feminino</v>
      </c>
      <c r="AK345" t="str" cm="1">
        <f t="array" ref="AK345">_xlfn.IFS(H345="Life Sciences", "Ciências da Vida", H345="Other", "Outro", H345="Medical", "Médico", H345="Technical Degree", "Curso Técnico", H345="Marketing", "Marketing", H345="Human Resources", "Recursos Humanos")</f>
        <v>Marketing</v>
      </c>
      <c r="AL345" t="str" cm="1">
        <f t="array" ref="AL34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46" spans="1:38" x14ac:dyDescent="0.25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IF(tbRh[[#This Row],[Gender]]="Female","Feminino","Masculino")</f>
        <v>Masculino</v>
      </c>
      <c r="AK346" t="str" cm="1">
        <f t="array" ref="AK346">_xlfn.IFS(H346="Life Sciences", "Ciências da Vida", H346="Other", "Outro", H346="Medical", "Médico", H346="Technical Degree", "Curso Técnico", H346="Marketing", "Marketing", H346="Human Resources", "Recursos Humanos")</f>
        <v>Curso Técnico</v>
      </c>
      <c r="AL346" t="str" cm="1">
        <f t="array" ref="AL3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7" spans="1:38" x14ac:dyDescent="0.25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IF(tbRh[[#This Row],[Gender]]="Female","Feminino","Masculino")</f>
        <v>Masculino</v>
      </c>
      <c r="AK347" t="str" cm="1">
        <f t="array" ref="AK347">_xlfn.IFS(H347="Life Sciences", "Ciências da Vida", H347="Other", "Outro", H347="Medical", "Médico", H347="Technical Degree", "Curso Técnico", H347="Marketing", "Marketing", H347="Human Resources", "Recursos Humanos")</f>
        <v>Ciências da Vida</v>
      </c>
      <c r="AL347" t="str" cm="1">
        <f t="array" ref="AL3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8" spans="1:38" x14ac:dyDescent="0.25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IF(tbRh[[#This Row],[Gender]]="Female","Feminino","Masculino")</f>
        <v>Masculino</v>
      </c>
      <c r="AK348" t="str" cm="1">
        <f t="array" ref="AK348">_xlfn.IFS(H348="Life Sciences", "Ciências da Vida", H348="Other", "Outro", H348="Medical", "Médico", H348="Technical Degree", "Curso Técnico", H348="Marketing", "Marketing", H348="Human Resources", "Recursos Humanos")</f>
        <v>Médico</v>
      </c>
      <c r="AL348" t="str" cm="1">
        <f t="array" ref="AL3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49" spans="1:38" x14ac:dyDescent="0.25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IF(tbRh[[#This Row],[Gender]]="Female","Feminino","Masculino")</f>
        <v>Masculino</v>
      </c>
      <c r="AK349" t="str" cm="1">
        <f t="array" ref="AK349">_xlfn.IFS(H349="Life Sciences", "Ciências da Vida", H349="Other", "Outro", H349="Medical", "Médico", H349="Technical Degree", "Curso Técnico", H349="Marketing", "Marketing", H349="Human Resources", "Recursos Humanos")</f>
        <v>Médico</v>
      </c>
      <c r="AL349" t="str" cm="1">
        <f t="array" ref="AL3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50" spans="1:38" x14ac:dyDescent="0.25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IF(tbRh[[#This Row],[Gender]]="Female","Feminino","Masculino")</f>
        <v>Feminino</v>
      </c>
      <c r="AK350" t="str" cm="1">
        <f t="array" ref="AK350">_xlfn.IFS(H350="Life Sciences", "Ciências da Vida", H350="Other", "Outro", H350="Medical", "Médico", H350="Technical Degree", "Curso Técnico", H350="Marketing", "Marketing", H350="Human Resources", "Recursos Humanos")</f>
        <v>Ciências da Vida</v>
      </c>
      <c r="AL350" t="str" cm="1">
        <f t="array" ref="AL3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51" spans="1:38" x14ac:dyDescent="0.25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IF(tbRh[[#This Row],[Gender]]="Female","Feminino","Masculino")</f>
        <v>Masculino</v>
      </c>
      <c r="AK351" t="str" cm="1">
        <f t="array" ref="AK351">_xlfn.IFS(H351="Life Sciences", "Ciências da Vida", H351="Other", "Outro", H351="Medical", "Médico", H351="Technical Degree", "Curso Técnico", H351="Marketing", "Marketing", H351="Human Resources", "Recursos Humanos")</f>
        <v>Ciências da Vida</v>
      </c>
      <c r="AL351" t="str" cm="1">
        <f t="array" ref="AL35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52" spans="1:38" x14ac:dyDescent="0.25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IF(tbRh[[#This Row],[Gender]]="Female","Feminino","Masculino")</f>
        <v>Masculino</v>
      </c>
      <c r="AK352" t="str" cm="1">
        <f t="array" ref="AK352">_xlfn.IFS(H352="Life Sciences", "Ciências da Vida", H352="Other", "Outro", H352="Medical", "Médico", H352="Technical Degree", "Curso Técnico", H352="Marketing", "Marketing", H352="Human Resources", "Recursos Humanos")</f>
        <v>Curso Técnico</v>
      </c>
      <c r="AL352" t="str" cm="1">
        <f t="array" ref="AL35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353" spans="1:38" x14ac:dyDescent="0.25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IF(tbRh[[#This Row],[Gender]]="Female","Feminino","Masculino")</f>
        <v>Feminino</v>
      </c>
      <c r="AK353" t="str" cm="1">
        <f t="array" ref="AK353">_xlfn.IFS(H353="Life Sciences", "Ciências da Vida", H353="Other", "Outro", H353="Medical", "Médico", H353="Technical Degree", "Curso Técnico", H353="Marketing", "Marketing", H353="Human Resources", "Recursos Humanos")</f>
        <v>Médico</v>
      </c>
      <c r="AL353" t="str" cm="1">
        <f t="array" ref="AL3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54" spans="1:38" x14ac:dyDescent="0.25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IF(tbRh[[#This Row],[Gender]]="Female","Feminino","Masculino")</f>
        <v>Feminino</v>
      </c>
      <c r="AK354" t="str" cm="1">
        <f t="array" ref="AK354">_xlfn.IFS(H354="Life Sciences", "Ciências da Vida", H354="Other", "Outro", H354="Medical", "Médico", H354="Technical Degree", "Curso Técnico", H354="Marketing", "Marketing", H354="Human Resources", "Recursos Humanos")</f>
        <v>Médico</v>
      </c>
      <c r="AL354" t="str" cm="1">
        <f t="array" ref="AL3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55" spans="1:38" x14ac:dyDescent="0.25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IF(tbRh[[#This Row],[Gender]]="Female","Feminino","Masculino")</f>
        <v>Masculino</v>
      </c>
      <c r="AK355" t="str" cm="1">
        <f t="array" ref="AK355">_xlfn.IFS(H355="Life Sciences", "Ciências da Vida", H355="Other", "Outro", H355="Medical", "Médico", H355="Technical Degree", "Curso Técnico", H355="Marketing", "Marketing", H355="Human Resources", "Recursos Humanos")</f>
        <v>Médico</v>
      </c>
      <c r="AL355" t="str" cm="1">
        <f t="array" ref="AL3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56" spans="1:38" x14ac:dyDescent="0.25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IF(tbRh[[#This Row],[Gender]]="Female","Feminino","Masculino")</f>
        <v>Feminino</v>
      </c>
      <c r="AK356" t="str" cm="1">
        <f t="array" ref="AK356">_xlfn.IFS(H356="Life Sciences", "Ciências da Vida", H356="Other", "Outro", H356="Medical", "Médico", H356="Technical Degree", "Curso Técnico", H356="Marketing", "Marketing", H356="Human Resources", "Recursos Humanos")</f>
        <v>Curso Técnico</v>
      </c>
      <c r="AL356" t="str" cm="1">
        <f t="array" ref="AL3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57" spans="1:38" x14ac:dyDescent="0.25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IF(tbRh[[#This Row],[Gender]]="Female","Feminino","Masculino")</f>
        <v>Masculino</v>
      </c>
      <c r="AK357" t="str" cm="1">
        <f t="array" ref="AK357">_xlfn.IFS(H357="Life Sciences", "Ciências da Vida", H357="Other", "Outro", H357="Medical", "Médico", H357="Technical Degree", "Curso Técnico", H357="Marketing", "Marketing", H357="Human Resources", "Recursos Humanos")</f>
        <v>Ciências da Vida</v>
      </c>
      <c r="AL357" t="str" cm="1">
        <f t="array" ref="AL35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58" spans="1:38" x14ac:dyDescent="0.25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IF(tbRh[[#This Row],[Gender]]="Female","Feminino","Masculino")</f>
        <v>Masculino</v>
      </c>
      <c r="AK358" t="str" cm="1">
        <f t="array" ref="AK358">_xlfn.IFS(H358="Life Sciences", "Ciências da Vida", H358="Other", "Outro", H358="Medical", "Médico", H358="Technical Degree", "Curso Técnico", H358="Marketing", "Marketing", H358="Human Resources", "Recursos Humanos")</f>
        <v>Outro</v>
      </c>
      <c r="AL358" t="str" cm="1">
        <f t="array" ref="AL3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59" spans="1:38" x14ac:dyDescent="0.25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IF(tbRh[[#This Row],[Gender]]="Female","Feminino","Masculino")</f>
        <v>Feminino</v>
      </c>
      <c r="AK359" t="str" cm="1">
        <f t="array" ref="AK359">_xlfn.IFS(H359="Life Sciences", "Ciências da Vida", H359="Other", "Outro", H359="Medical", "Médico", H359="Technical Degree", "Curso Técnico", H359="Marketing", "Marketing", H359="Human Resources", "Recursos Humanos")</f>
        <v>Curso Técnico</v>
      </c>
      <c r="AL359" t="str" cm="1">
        <f t="array" ref="AL35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0" spans="1:38" x14ac:dyDescent="0.25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IF(tbRh[[#This Row],[Gender]]="Female","Feminino","Masculino")</f>
        <v>Feminino</v>
      </c>
      <c r="AK360" t="str" cm="1">
        <f t="array" ref="AK360">_xlfn.IFS(H360="Life Sciences", "Ciências da Vida", H360="Other", "Outro", H360="Medical", "Médico", H360="Technical Degree", "Curso Técnico", H360="Marketing", "Marketing", H360="Human Resources", "Recursos Humanos")</f>
        <v>Médico</v>
      </c>
      <c r="AL360" t="str" cm="1">
        <f t="array" ref="AL36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1" spans="1:38" x14ac:dyDescent="0.25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IF(tbRh[[#This Row],[Gender]]="Female","Feminino","Masculino")</f>
        <v>Masculino</v>
      </c>
      <c r="AK361" t="str" cm="1">
        <f t="array" ref="AK361">_xlfn.IFS(H361="Life Sciences", "Ciências da Vida", H361="Other", "Outro", H361="Medical", "Médico", H361="Technical Degree", "Curso Técnico", H361="Marketing", "Marketing", H361="Human Resources", "Recursos Humanos")</f>
        <v>Médico</v>
      </c>
      <c r="AL361" t="str" cm="1">
        <f t="array" ref="AL36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2" spans="1:38" x14ac:dyDescent="0.25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IF(tbRh[[#This Row],[Gender]]="Female","Feminino","Masculino")</f>
        <v>Masculino</v>
      </c>
      <c r="AK362" t="str" cm="1">
        <f t="array" ref="AK362">_xlfn.IFS(H362="Life Sciences", "Ciências da Vida", H362="Other", "Outro", H362="Medical", "Médico", H362="Technical Degree", "Curso Técnico", H362="Marketing", "Marketing", H362="Human Resources", "Recursos Humanos")</f>
        <v>Médico</v>
      </c>
      <c r="AL362" t="str" cm="1">
        <f t="array" ref="AL3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63" spans="1:38" x14ac:dyDescent="0.25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IF(tbRh[[#This Row],[Gender]]="Female","Feminino","Masculino")</f>
        <v>Feminino</v>
      </c>
      <c r="AK363" t="str" cm="1">
        <f t="array" ref="AK363">_xlfn.IFS(H363="Life Sciences", "Ciências da Vida", H363="Other", "Outro", H363="Medical", "Médico", H363="Technical Degree", "Curso Técnico", H363="Marketing", "Marketing", H363="Human Resources", "Recursos Humanos")</f>
        <v>Ciências da Vida</v>
      </c>
      <c r="AL363" t="str" cm="1">
        <f t="array" ref="AL3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64" spans="1:38" x14ac:dyDescent="0.25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IF(tbRh[[#This Row],[Gender]]="Female","Feminino","Masculino")</f>
        <v>Masculino</v>
      </c>
      <c r="AK364" t="str" cm="1">
        <f t="array" ref="AK364">_xlfn.IFS(H364="Life Sciences", "Ciências da Vida", H364="Other", "Outro", H364="Medical", "Médico", H364="Technical Degree", "Curso Técnico", H364="Marketing", "Marketing", H364="Human Resources", "Recursos Humanos")</f>
        <v>Médico</v>
      </c>
      <c r="AL364" t="str" cm="1">
        <f t="array" ref="AL36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5" spans="1:38" x14ac:dyDescent="0.25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IF(tbRh[[#This Row],[Gender]]="Female","Feminino","Masculino")</f>
        <v>Feminino</v>
      </c>
      <c r="AK365" t="str" cm="1">
        <f t="array" ref="AK365">_xlfn.IFS(H365="Life Sciences", "Ciências da Vida", H365="Other", "Outro", H365="Medical", "Médico", H365="Technical Degree", "Curso Técnico", H365="Marketing", "Marketing", H365="Human Resources", "Recursos Humanos")</f>
        <v>Marketing</v>
      </c>
      <c r="AL365" t="str" cm="1">
        <f t="array" ref="AL3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6" spans="1:38" x14ac:dyDescent="0.25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IF(tbRh[[#This Row],[Gender]]="Female","Feminino","Masculino")</f>
        <v>Feminino</v>
      </c>
      <c r="AK366" t="str" cm="1">
        <f t="array" ref="AK366">_xlfn.IFS(H366="Life Sciences", "Ciências da Vida", H366="Other", "Outro", H366="Medical", "Médico", H366="Technical Degree", "Curso Técnico", H366="Marketing", "Marketing", H366="Human Resources", "Recursos Humanos")</f>
        <v>Médico</v>
      </c>
      <c r="AL366" t="str" cm="1">
        <f t="array" ref="AL3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67" spans="1:38" x14ac:dyDescent="0.25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IF(tbRh[[#This Row],[Gender]]="Female","Feminino","Masculino")</f>
        <v>Feminino</v>
      </c>
      <c r="AK367" t="str" cm="1">
        <f t="array" ref="AK367">_xlfn.IFS(H367="Life Sciences", "Ciências da Vida", H367="Other", "Outro", H367="Medical", "Médico", H367="Technical Degree", "Curso Técnico", H367="Marketing", "Marketing", H367="Human Resources", "Recursos Humanos")</f>
        <v>Médico</v>
      </c>
      <c r="AL367" t="str" cm="1">
        <f t="array" ref="AL3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68" spans="1:38" x14ac:dyDescent="0.25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IF(tbRh[[#This Row],[Gender]]="Female","Feminino","Masculino")</f>
        <v>Masculino</v>
      </c>
      <c r="AK368" t="str" cm="1">
        <f t="array" ref="AK368">_xlfn.IFS(H368="Life Sciences", "Ciências da Vida", H368="Other", "Outro", H368="Medical", "Médico", H368="Technical Degree", "Curso Técnico", H368="Marketing", "Marketing", H368="Human Resources", "Recursos Humanos")</f>
        <v>Marketing</v>
      </c>
      <c r="AL368" t="str" cm="1">
        <f t="array" ref="AL36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69" spans="1:38" x14ac:dyDescent="0.25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IF(tbRh[[#This Row],[Gender]]="Female","Feminino","Masculino")</f>
        <v>Masculino</v>
      </c>
      <c r="AK369" t="str" cm="1">
        <f t="array" ref="AK369">_xlfn.IFS(H369="Life Sciences", "Ciências da Vida", H369="Other", "Outro", H369="Medical", "Médico", H369="Technical Degree", "Curso Técnico", H369="Marketing", "Marketing", H369="Human Resources", "Recursos Humanos")</f>
        <v>Curso Técnico</v>
      </c>
      <c r="AL369" t="str" cm="1">
        <f t="array" ref="AL3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0" spans="1:38" x14ac:dyDescent="0.25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IF(tbRh[[#This Row],[Gender]]="Female","Feminino","Masculino")</f>
        <v>Masculino</v>
      </c>
      <c r="AK370" t="str" cm="1">
        <f t="array" ref="AK370">_xlfn.IFS(H370="Life Sciences", "Ciências da Vida", H370="Other", "Outro", H370="Medical", "Médico", H370="Technical Degree", "Curso Técnico", H370="Marketing", "Marketing", H370="Human Resources", "Recursos Humanos")</f>
        <v>Marketing</v>
      </c>
      <c r="AL370" t="str" cm="1">
        <f t="array" ref="AL37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71" spans="1:38" x14ac:dyDescent="0.25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IF(tbRh[[#This Row],[Gender]]="Female","Feminino","Masculino")</f>
        <v>Masculino</v>
      </c>
      <c r="AK371" t="str" cm="1">
        <f t="array" ref="AK371">_xlfn.IFS(H371="Life Sciences", "Ciências da Vida", H371="Other", "Outro", H371="Medical", "Médico", H371="Technical Degree", "Curso Técnico", H371="Marketing", "Marketing", H371="Human Resources", "Recursos Humanos")</f>
        <v>Ciências da Vida</v>
      </c>
      <c r="AL371" t="str" cm="1">
        <f t="array" ref="AL3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2" spans="1:38" x14ac:dyDescent="0.25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IF(tbRh[[#This Row],[Gender]]="Female","Feminino","Masculino")</f>
        <v>Feminino</v>
      </c>
      <c r="AK372" t="str" cm="1">
        <f t="array" ref="AK372">_xlfn.IFS(H372="Life Sciences", "Ciências da Vida", H372="Other", "Outro", H372="Medical", "Médico", H372="Technical Degree", "Curso Técnico", H372="Marketing", "Marketing", H372="Human Resources", "Recursos Humanos")</f>
        <v>Ciências da Vida</v>
      </c>
      <c r="AL372" t="str" cm="1">
        <f t="array" ref="AL3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73" spans="1:38" x14ac:dyDescent="0.25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IF(tbRh[[#This Row],[Gender]]="Female","Feminino","Masculino")</f>
        <v>Masculino</v>
      </c>
      <c r="AK373" t="str" cm="1">
        <f t="array" ref="AK373">_xlfn.IFS(H373="Life Sciences", "Ciências da Vida", H373="Other", "Outro", H373="Medical", "Médico", H373="Technical Degree", "Curso Técnico", H373="Marketing", "Marketing", H373="Human Resources", "Recursos Humanos")</f>
        <v>Ciências da Vida</v>
      </c>
      <c r="AL373" t="str" cm="1">
        <f t="array" ref="AL3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4" spans="1:38" x14ac:dyDescent="0.25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IF(tbRh[[#This Row],[Gender]]="Female","Feminino","Masculino")</f>
        <v>Masculino</v>
      </c>
      <c r="AK374" t="str" cm="1">
        <f t="array" ref="AK374">_xlfn.IFS(H374="Life Sciences", "Ciências da Vida", H374="Other", "Outro", H374="Medical", "Médico", H374="Technical Degree", "Curso Técnico", H374="Marketing", "Marketing", H374="Human Resources", "Recursos Humanos")</f>
        <v>Ciências da Vida</v>
      </c>
      <c r="AL374" t="str" cm="1">
        <f t="array" ref="AL3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5" spans="1:38" x14ac:dyDescent="0.25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IF(tbRh[[#This Row],[Gender]]="Female","Feminino","Masculino")</f>
        <v>Masculino</v>
      </c>
      <c r="AK375" t="str" cm="1">
        <f t="array" ref="AK375">_xlfn.IFS(H375="Life Sciences", "Ciências da Vida", H375="Other", "Outro", H375="Medical", "Médico", H375="Technical Degree", "Curso Técnico", H375="Marketing", "Marketing", H375="Human Resources", "Recursos Humanos")</f>
        <v>Médico</v>
      </c>
      <c r="AL375" t="str" cm="1">
        <f t="array" ref="AL3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6" spans="1:38" x14ac:dyDescent="0.25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IF(tbRh[[#This Row],[Gender]]="Female","Feminino","Masculino")</f>
        <v>Masculino</v>
      </c>
      <c r="AK376" t="str" cm="1">
        <f t="array" ref="AK376">_xlfn.IFS(H376="Life Sciences", "Ciências da Vida", H376="Other", "Outro", H376="Medical", "Médico", H376="Technical Degree", "Curso Técnico", H376="Marketing", "Marketing", H376="Human Resources", "Recursos Humanos")</f>
        <v>Ciências da Vida</v>
      </c>
      <c r="AL376" t="str" cm="1">
        <f t="array" ref="AL37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77" spans="1:38" x14ac:dyDescent="0.25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IF(tbRh[[#This Row],[Gender]]="Female","Feminino","Masculino")</f>
        <v>Masculino</v>
      </c>
      <c r="AK377" t="str" cm="1">
        <f t="array" ref="AK377">_xlfn.IFS(H377="Life Sciences", "Ciências da Vida", H377="Other", "Outro", H377="Medical", "Médico", H377="Technical Degree", "Curso Técnico", H377="Marketing", "Marketing", H377="Human Resources", "Recursos Humanos")</f>
        <v>Outro</v>
      </c>
      <c r="AL377" t="str" cm="1">
        <f t="array" ref="AL3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78" spans="1:38" x14ac:dyDescent="0.25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IF(tbRh[[#This Row],[Gender]]="Female","Feminino","Masculino")</f>
        <v>Feminino</v>
      </c>
      <c r="AK378" t="str" cm="1">
        <f t="array" ref="AK378">_xlfn.IFS(H378="Life Sciences", "Ciências da Vida", H378="Other", "Outro", H378="Medical", "Médico", H378="Technical Degree", "Curso Técnico", H378="Marketing", "Marketing", H378="Human Resources", "Recursos Humanos")</f>
        <v>Ciências da Vida</v>
      </c>
      <c r="AL378" t="str" cm="1">
        <f t="array" ref="AL37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79" spans="1:38" x14ac:dyDescent="0.25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IF(tbRh[[#This Row],[Gender]]="Female","Feminino","Masculino")</f>
        <v>Feminino</v>
      </c>
      <c r="AK379" t="str" cm="1">
        <f t="array" ref="AK379">_xlfn.IFS(H379="Life Sciences", "Ciências da Vida", H379="Other", "Outro", H379="Medical", "Médico", H379="Technical Degree", "Curso Técnico", H379="Marketing", "Marketing", H379="Human Resources", "Recursos Humanos")</f>
        <v>Ciências da Vida</v>
      </c>
      <c r="AL379" t="str" cm="1">
        <f t="array" ref="AL3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0" spans="1:38" x14ac:dyDescent="0.25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IF(tbRh[[#This Row],[Gender]]="Female","Feminino","Masculino")</f>
        <v>Masculino</v>
      </c>
      <c r="AK380" t="str" cm="1">
        <f t="array" ref="AK380">_xlfn.IFS(H380="Life Sciences", "Ciências da Vida", H380="Other", "Outro", H380="Medical", "Médico", H380="Technical Degree", "Curso Técnico", H380="Marketing", "Marketing", H380="Human Resources", "Recursos Humanos")</f>
        <v>Marketing</v>
      </c>
      <c r="AL380" t="str" cm="1">
        <f t="array" ref="AL38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81" spans="1:38" x14ac:dyDescent="0.25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IF(tbRh[[#This Row],[Gender]]="Female","Feminino","Masculino")</f>
        <v>Feminino</v>
      </c>
      <c r="AK381" t="str" cm="1">
        <f t="array" ref="AK381">_xlfn.IFS(H381="Life Sciences", "Ciências da Vida", H381="Other", "Outro", H381="Medical", "Médico", H381="Technical Degree", "Curso Técnico", H381="Marketing", "Marketing", H381="Human Resources", "Recursos Humanos")</f>
        <v>Ciências da Vida</v>
      </c>
      <c r="AL381" t="str" cm="1">
        <f t="array" ref="AL3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2" spans="1:38" x14ac:dyDescent="0.25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IF(tbRh[[#This Row],[Gender]]="Female","Feminino","Masculino")</f>
        <v>Feminino</v>
      </c>
      <c r="AK382" t="str" cm="1">
        <f t="array" ref="AK382">_xlfn.IFS(H382="Life Sciences", "Ciências da Vida", H382="Other", "Outro", H382="Medical", "Médico", H382="Technical Degree", "Curso Técnico", H382="Marketing", "Marketing", H382="Human Resources", "Recursos Humanos")</f>
        <v>Marketing</v>
      </c>
      <c r="AL382" t="str" cm="1">
        <f t="array" ref="AL38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83" spans="1:38" x14ac:dyDescent="0.25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IF(tbRh[[#This Row],[Gender]]="Female","Feminino","Masculino")</f>
        <v>Masculino</v>
      </c>
      <c r="AK383" t="str" cm="1">
        <f t="array" ref="AK383">_xlfn.IFS(H383="Life Sciences", "Ciências da Vida", H383="Other", "Outro", H383="Medical", "Médico", H383="Technical Degree", "Curso Técnico", H383="Marketing", "Marketing", H383="Human Resources", "Recursos Humanos")</f>
        <v>Curso Técnico</v>
      </c>
      <c r="AL383" t="str" cm="1">
        <f t="array" ref="AL38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84" spans="1:38" x14ac:dyDescent="0.25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IF(tbRh[[#This Row],[Gender]]="Female","Feminino","Masculino")</f>
        <v>Masculino</v>
      </c>
      <c r="AK384" t="str" cm="1">
        <f t="array" ref="AK384">_xlfn.IFS(H384="Life Sciences", "Ciências da Vida", H384="Other", "Outro", H384="Medical", "Médico", H384="Technical Degree", "Curso Técnico", H384="Marketing", "Marketing", H384="Human Resources", "Recursos Humanos")</f>
        <v>Curso Técnico</v>
      </c>
      <c r="AL384" t="str" cm="1">
        <f t="array" ref="AL3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5" spans="1:38" x14ac:dyDescent="0.25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IF(tbRh[[#This Row],[Gender]]="Female","Feminino","Masculino")</f>
        <v>Feminino</v>
      </c>
      <c r="AK385" t="str" cm="1">
        <f t="array" ref="AK385">_xlfn.IFS(H385="Life Sciences", "Ciências da Vida", H385="Other", "Outro", H385="Medical", "Médico", H385="Technical Degree", "Curso Técnico", H385="Marketing", "Marketing", H385="Human Resources", "Recursos Humanos")</f>
        <v>Médico</v>
      </c>
      <c r="AL385" t="str" cm="1">
        <f t="array" ref="AL3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6" spans="1:38" x14ac:dyDescent="0.25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IF(tbRh[[#This Row],[Gender]]="Female","Feminino","Masculino")</f>
        <v>Masculino</v>
      </c>
      <c r="AK386" t="str" cm="1">
        <f t="array" ref="AK386">_xlfn.IFS(H386="Life Sciences", "Ciências da Vida", H386="Other", "Outro", H386="Medical", "Médico", H386="Technical Degree", "Curso Técnico", H386="Marketing", "Marketing", H386="Human Resources", "Recursos Humanos")</f>
        <v>Médico</v>
      </c>
      <c r="AL386" t="str" cm="1">
        <f t="array" ref="AL3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87" spans="1:38" x14ac:dyDescent="0.25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IF(tbRh[[#This Row],[Gender]]="Female","Feminino","Masculino")</f>
        <v>Masculino</v>
      </c>
      <c r="AK387" t="str" cm="1">
        <f t="array" ref="AK387">_xlfn.IFS(H387="Life Sciences", "Ciências da Vida", H387="Other", "Outro", H387="Medical", "Médico", H387="Technical Degree", "Curso Técnico", H387="Marketing", "Marketing", H387="Human Resources", "Recursos Humanos")</f>
        <v>Curso Técnico</v>
      </c>
      <c r="AL387" t="str" cm="1">
        <f t="array" ref="AL3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8" spans="1:38" x14ac:dyDescent="0.25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IF(tbRh[[#This Row],[Gender]]="Female","Feminino","Masculino")</f>
        <v>Feminino</v>
      </c>
      <c r="AK388" t="str" cm="1">
        <f t="array" ref="AK388">_xlfn.IFS(H388="Life Sciences", "Ciências da Vida", H388="Other", "Outro", H388="Medical", "Médico", H388="Technical Degree", "Curso Técnico", H388="Marketing", "Marketing", H388="Human Resources", "Recursos Humanos")</f>
        <v>Ciências da Vida</v>
      </c>
      <c r="AL388" t="str" cm="1">
        <f t="array" ref="AL3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89" spans="1:38" x14ac:dyDescent="0.25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IF(tbRh[[#This Row],[Gender]]="Female","Feminino","Masculino")</f>
        <v>Feminino</v>
      </c>
      <c r="AK389" t="str" cm="1">
        <f t="array" ref="AK389">_xlfn.IFS(H389="Life Sciences", "Ciências da Vida", H389="Other", "Outro", H389="Medical", "Médico", H389="Technical Degree", "Curso Técnico", H389="Marketing", "Marketing", H389="Human Resources", "Recursos Humanos")</f>
        <v>Marketing</v>
      </c>
      <c r="AL389" t="str" cm="1">
        <f t="array" ref="AL38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90" spans="1:38" x14ac:dyDescent="0.25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IF(tbRh[[#This Row],[Gender]]="Female","Feminino","Masculino")</f>
        <v>Feminino</v>
      </c>
      <c r="AK390" t="str" cm="1">
        <f t="array" ref="AK390">_xlfn.IFS(H390="Life Sciences", "Ciências da Vida", H390="Other", "Outro", H390="Medical", "Médico", H390="Technical Degree", "Curso Técnico", H390="Marketing", "Marketing", H390="Human Resources", "Recursos Humanos")</f>
        <v>Ciências da Vida</v>
      </c>
      <c r="AL390" t="str" cm="1">
        <f t="array" ref="AL3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1" spans="1:38" x14ac:dyDescent="0.25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IF(tbRh[[#This Row],[Gender]]="Female","Feminino","Masculino")</f>
        <v>Masculino</v>
      </c>
      <c r="AK391" t="str" cm="1">
        <f t="array" ref="AK391">_xlfn.IFS(H391="Life Sciences", "Ciências da Vida", H391="Other", "Outro", H391="Medical", "Médico", H391="Technical Degree", "Curso Técnico", H391="Marketing", "Marketing", H391="Human Resources", "Recursos Humanos")</f>
        <v>Ciências da Vida</v>
      </c>
      <c r="AL391" t="str" cm="1">
        <f t="array" ref="AL3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2" spans="1:38" x14ac:dyDescent="0.25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IF(tbRh[[#This Row],[Gender]]="Female","Feminino","Masculino")</f>
        <v>Masculino</v>
      </c>
      <c r="AK392" t="str" cm="1">
        <f t="array" ref="AK392">_xlfn.IFS(H392="Life Sciences", "Ciências da Vida", H392="Other", "Outro", H392="Medical", "Médico", H392="Technical Degree", "Curso Técnico", H392="Marketing", "Marketing", H392="Human Resources", "Recursos Humanos")</f>
        <v>Ciências da Vida</v>
      </c>
      <c r="AL392" t="str" cm="1">
        <f t="array" ref="AL3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3" spans="1:38" x14ac:dyDescent="0.25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IF(tbRh[[#This Row],[Gender]]="Female","Feminino","Masculino")</f>
        <v>Feminino</v>
      </c>
      <c r="AK393" t="str" cm="1">
        <f t="array" ref="AK393">_xlfn.IFS(H393="Life Sciences", "Ciências da Vida", H393="Other", "Outro", H393="Medical", "Médico", H393="Technical Degree", "Curso Técnico", H393="Marketing", "Marketing", H393="Human Resources", "Recursos Humanos")</f>
        <v>Médico</v>
      </c>
      <c r="AL393" t="str" cm="1">
        <f t="array" ref="AL3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4" spans="1:38" x14ac:dyDescent="0.25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IF(tbRh[[#This Row],[Gender]]="Female","Feminino","Masculino")</f>
        <v>Masculino</v>
      </c>
      <c r="AK394" t="str" cm="1">
        <f t="array" ref="AK394">_xlfn.IFS(H394="Life Sciences", "Ciências da Vida", H394="Other", "Outro", H394="Medical", "Médico", H394="Technical Degree", "Curso Técnico", H394="Marketing", "Marketing", H394="Human Resources", "Recursos Humanos")</f>
        <v>Médico</v>
      </c>
      <c r="AL394" t="str" cm="1">
        <f t="array" ref="AL3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5" spans="1:38" x14ac:dyDescent="0.25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IF(tbRh[[#This Row],[Gender]]="Female","Feminino","Masculino")</f>
        <v>Feminino</v>
      </c>
      <c r="AK395" t="str" cm="1">
        <f t="array" ref="AK395">_xlfn.IFS(H395="Life Sciences", "Ciências da Vida", H395="Other", "Outro", H395="Medical", "Médico", H395="Technical Degree", "Curso Técnico", H395="Marketing", "Marketing", H395="Human Resources", "Recursos Humanos")</f>
        <v>Marketing</v>
      </c>
      <c r="AL395" t="str" cm="1">
        <f t="array" ref="AL39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396" spans="1:38" x14ac:dyDescent="0.25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IF(tbRh[[#This Row],[Gender]]="Female","Feminino","Masculino")</f>
        <v>Feminino</v>
      </c>
      <c r="AK396" t="str" cm="1">
        <f t="array" ref="AK396">_xlfn.IFS(H396="Life Sciences", "Ciências da Vida", H396="Other", "Outro", H396="Medical", "Médico", H396="Technical Degree", "Curso Técnico", H396="Marketing", "Marketing", H396="Human Resources", "Recursos Humanos")</f>
        <v>Médico</v>
      </c>
      <c r="AL396" t="str" cm="1">
        <f t="array" ref="AL3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7" spans="1:38" x14ac:dyDescent="0.25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IF(tbRh[[#This Row],[Gender]]="Female","Feminino","Masculino")</f>
        <v>Masculino</v>
      </c>
      <c r="AK397" t="str" cm="1">
        <f t="array" ref="AK397">_xlfn.IFS(H397="Life Sciences", "Ciências da Vida", H397="Other", "Outro", H397="Medical", "Médico", H397="Technical Degree", "Curso Técnico", H397="Marketing", "Marketing", H397="Human Resources", "Recursos Humanos")</f>
        <v>Médico</v>
      </c>
      <c r="AL397" t="str" cm="1">
        <f t="array" ref="AL3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8" spans="1:38" x14ac:dyDescent="0.25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IF(tbRh[[#This Row],[Gender]]="Female","Feminino","Masculino")</f>
        <v>Feminino</v>
      </c>
      <c r="AK398" t="str" cm="1">
        <f t="array" ref="AK398">_xlfn.IFS(H398="Life Sciences", "Ciências da Vida", H398="Other", "Outro", H398="Medical", "Médico", H398="Technical Degree", "Curso Técnico", H398="Marketing", "Marketing", H398="Human Resources", "Recursos Humanos")</f>
        <v>Outro</v>
      </c>
      <c r="AL398" t="str" cm="1">
        <f t="array" ref="AL3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399" spans="1:38" x14ac:dyDescent="0.25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IF(tbRh[[#This Row],[Gender]]="Female","Feminino","Masculino")</f>
        <v>Feminino</v>
      </c>
      <c r="AK399" t="str" cm="1">
        <f t="array" ref="AK399">_xlfn.IFS(H399="Life Sciences", "Ciências da Vida", H399="Other", "Outro", H399="Medical", "Médico", H399="Technical Degree", "Curso Técnico", H399="Marketing", "Marketing", H399="Human Resources", "Recursos Humanos")</f>
        <v>Ciências da Vida</v>
      </c>
      <c r="AL399" t="str" cm="1">
        <f t="array" ref="AL39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00" spans="1:38" x14ac:dyDescent="0.25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IF(tbRh[[#This Row],[Gender]]="Female","Feminino","Masculino")</f>
        <v>Feminino</v>
      </c>
      <c r="AK400" t="str" cm="1">
        <f t="array" ref="AK400">_xlfn.IFS(H400="Life Sciences", "Ciências da Vida", H400="Other", "Outro", H400="Medical", "Médico", H400="Technical Degree", "Curso Técnico", H400="Marketing", "Marketing", H400="Human Resources", "Recursos Humanos")</f>
        <v>Médico</v>
      </c>
      <c r="AL400" t="str" cm="1">
        <f t="array" ref="AL4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01" spans="1:38" x14ac:dyDescent="0.25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IF(tbRh[[#This Row],[Gender]]="Female","Feminino","Masculino")</f>
        <v>Masculino</v>
      </c>
      <c r="AK401" t="str" cm="1">
        <f t="array" ref="AK401">_xlfn.IFS(H401="Life Sciences", "Ciências da Vida", H401="Other", "Outro", H401="Medical", "Médico", H401="Technical Degree", "Curso Técnico", H401="Marketing", "Marketing", H401="Human Resources", "Recursos Humanos")</f>
        <v>Ciências da Vida</v>
      </c>
      <c r="AL401" t="str" cm="1">
        <f t="array" ref="AL4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02" spans="1:38" x14ac:dyDescent="0.25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IF(tbRh[[#This Row],[Gender]]="Female","Feminino","Masculino")</f>
        <v>Masculino</v>
      </c>
      <c r="AK402" t="str" cm="1">
        <f t="array" ref="AK402">_xlfn.IFS(H402="Life Sciences", "Ciências da Vida", H402="Other", "Outro", H402="Medical", "Médico", H402="Technical Degree", "Curso Técnico", H402="Marketing", "Marketing", H402="Human Resources", "Recursos Humanos")</f>
        <v>Ciências da Vida</v>
      </c>
      <c r="AL402" t="str" cm="1">
        <f t="array" ref="AL4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03" spans="1:38" x14ac:dyDescent="0.25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IF(tbRh[[#This Row],[Gender]]="Female","Feminino","Masculino")</f>
        <v>Feminino</v>
      </c>
      <c r="AK403" t="str" cm="1">
        <f t="array" ref="AK403">_xlfn.IFS(H403="Life Sciences", "Ciências da Vida", H403="Other", "Outro", H403="Medical", "Médico", H403="Technical Degree", "Curso Técnico", H403="Marketing", "Marketing", H403="Human Resources", "Recursos Humanos")</f>
        <v>Ciências da Vida</v>
      </c>
      <c r="AL403" t="str" cm="1">
        <f t="array" ref="AL40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04" spans="1:38" x14ac:dyDescent="0.25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IF(tbRh[[#This Row],[Gender]]="Female","Feminino","Masculino")</f>
        <v>Feminino</v>
      </c>
      <c r="AK404" t="str" cm="1">
        <f t="array" ref="AK404">_xlfn.IFS(H404="Life Sciences", "Ciências da Vida", H404="Other", "Outro", H404="Medical", "Médico", H404="Technical Degree", "Curso Técnico", H404="Marketing", "Marketing", H404="Human Resources", "Recursos Humanos")</f>
        <v>Curso Técnico</v>
      </c>
      <c r="AL404" t="str" cm="1">
        <f t="array" ref="AL40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05" spans="1:38" x14ac:dyDescent="0.25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IF(tbRh[[#This Row],[Gender]]="Female","Feminino","Masculino")</f>
        <v>Masculino</v>
      </c>
      <c r="AK405" t="str" cm="1">
        <f t="array" ref="AK405">_xlfn.IFS(H405="Life Sciences", "Ciências da Vida", H405="Other", "Outro", H405="Medical", "Médico", H405="Technical Degree", "Curso Técnico", H405="Marketing", "Marketing", H405="Human Resources", "Recursos Humanos")</f>
        <v>Marketing</v>
      </c>
      <c r="AL405" t="str" cm="1">
        <f t="array" ref="AL40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06" spans="1:38" x14ac:dyDescent="0.25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IF(tbRh[[#This Row],[Gender]]="Female","Feminino","Masculino")</f>
        <v>Masculino</v>
      </c>
      <c r="AK406" t="str" cm="1">
        <f t="array" ref="AK406">_xlfn.IFS(H406="Life Sciences", "Ciências da Vida", H406="Other", "Outro", H406="Medical", "Médico", H406="Technical Degree", "Curso Técnico", H406="Marketing", "Marketing", H406="Human Resources", "Recursos Humanos")</f>
        <v>Médico</v>
      </c>
      <c r="AL406" t="str" cm="1">
        <f t="array" ref="AL4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07" spans="1:38" x14ac:dyDescent="0.25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IF(tbRh[[#This Row],[Gender]]="Female","Feminino","Masculino")</f>
        <v>Masculino</v>
      </c>
      <c r="AK407" t="str" cm="1">
        <f t="array" ref="AK407">_xlfn.IFS(H407="Life Sciences", "Ciências da Vida", H407="Other", "Outro", H407="Medical", "Médico", H407="Technical Degree", "Curso Técnico", H407="Marketing", "Marketing", H407="Human Resources", "Recursos Humanos")</f>
        <v>Médico</v>
      </c>
      <c r="AL407" t="str" cm="1">
        <f t="array" ref="AL4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08" spans="1:38" x14ac:dyDescent="0.25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IF(tbRh[[#This Row],[Gender]]="Female","Feminino","Masculino")</f>
        <v>Masculino</v>
      </c>
      <c r="AK408" t="str" cm="1">
        <f t="array" ref="AK408">_xlfn.IFS(H408="Life Sciences", "Ciências da Vida", H408="Other", "Outro", H408="Medical", "Médico", H408="Technical Degree", "Curso Técnico", H408="Marketing", "Marketing", H408="Human Resources", "Recursos Humanos")</f>
        <v>Médico</v>
      </c>
      <c r="AL408" t="str" cm="1">
        <f t="array" ref="AL4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09" spans="1:38" x14ac:dyDescent="0.25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IF(tbRh[[#This Row],[Gender]]="Female","Feminino","Masculino")</f>
        <v>Masculino</v>
      </c>
      <c r="AK409" t="str" cm="1">
        <f t="array" ref="AK409">_xlfn.IFS(H409="Life Sciences", "Ciências da Vida", H409="Other", "Outro", H409="Medical", "Médico", H409="Technical Degree", "Curso Técnico", H409="Marketing", "Marketing", H409="Human Resources", "Recursos Humanos")</f>
        <v>Ciências da Vida</v>
      </c>
      <c r="AL409" t="str" cm="1">
        <f t="array" ref="AL4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0" spans="1:38" x14ac:dyDescent="0.25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IF(tbRh[[#This Row],[Gender]]="Female","Feminino","Masculino")</f>
        <v>Feminino</v>
      </c>
      <c r="AK410" t="str" cm="1">
        <f t="array" ref="AK410">_xlfn.IFS(H410="Life Sciences", "Ciências da Vida", H410="Other", "Outro", H410="Medical", "Médico", H410="Technical Degree", "Curso Técnico", H410="Marketing", "Marketing", H410="Human Resources", "Recursos Humanos")</f>
        <v>Ciências da Vida</v>
      </c>
      <c r="AL410" t="str" cm="1">
        <f t="array" ref="AL4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1" spans="1:38" x14ac:dyDescent="0.25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IF(tbRh[[#This Row],[Gender]]="Female","Feminino","Masculino")</f>
        <v>Feminino</v>
      </c>
      <c r="AK411" t="str" cm="1">
        <f t="array" ref="AK411">_xlfn.IFS(H411="Life Sciences", "Ciências da Vida", H411="Other", "Outro", H411="Medical", "Médico", H411="Technical Degree", "Curso Técnico", H411="Marketing", "Marketing", H411="Human Resources", "Recursos Humanos")</f>
        <v>Ciências da Vida</v>
      </c>
      <c r="AL411" t="str" cm="1">
        <f t="array" ref="AL4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2" spans="1:38" x14ac:dyDescent="0.25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IF(tbRh[[#This Row],[Gender]]="Female","Feminino","Masculino")</f>
        <v>Feminino</v>
      </c>
      <c r="AK412" t="str" cm="1">
        <f t="array" ref="AK412">_xlfn.IFS(H412="Life Sciences", "Ciências da Vida", H412="Other", "Outro", H412="Medical", "Médico", H412="Technical Degree", "Curso Técnico", H412="Marketing", "Marketing", H412="Human Resources", "Recursos Humanos")</f>
        <v>Ciências da Vida</v>
      </c>
      <c r="AL412" t="str" cm="1">
        <f t="array" ref="AL4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3" spans="1:38" x14ac:dyDescent="0.25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IF(tbRh[[#This Row],[Gender]]="Female","Feminino","Masculino")</f>
        <v>Feminino</v>
      </c>
      <c r="AK413" t="str" cm="1">
        <f t="array" ref="AK413">_xlfn.IFS(H413="Life Sciences", "Ciências da Vida", H413="Other", "Outro", H413="Medical", "Médico", H413="Technical Degree", "Curso Técnico", H413="Marketing", "Marketing", H413="Human Resources", "Recursos Humanos")</f>
        <v>Ciências da Vida</v>
      </c>
      <c r="AL413" t="str" cm="1">
        <f t="array" ref="AL4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4" spans="1:38" x14ac:dyDescent="0.25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IF(tbRh[[#This Row],[Gender]]="Female","Feminino","Masculino")</f>
        <v>Feminino</v>
      </c>
      <c r="AK414" t="str" cm="1">
        <f t="array" ref="AK414">_xlfn.IFS(H414="Life Sciences", "Ciências da Vida", H414="Other", "Outro", H414="Medical", "Médico", H414="Technical Degree", "Curso Técnico", H414="Marketing", "Marketing", H414="Human Resources", "Recursos Humanos")</f>
        <v>Médico</v>
      </c>
      <c r="AL414" t="str" cm="1">
        <f t="array" ref="AL4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5" spans="1:38" x14ac:dyDescent="0.25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IF(tbRh[[#This Row],[Gender]]="Female","Feminino","Masculino")</f>
        <v>Feminino</v>
      </c>
      <c r="AK415" t="str" cm="1">
        <f t="array" ref="AK415">_xlfn.IFS(H415="Life Sciences", "Ciências da Vida", H415="Other", "Outro", H415="Medical", "Médico", H415="Technical Degree", "Curso Técnico", H415="Marketing", "Marketing", H415="Human Resources", "Recursos Humanos")</f>
        <v>Curso Técnico</v>
      </c>
      <c r="AL415" t="str" cm="1">
        <f t="array" ref="AL4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6" spans="1:38" x14ac:dyDescent="0.25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IF(tbRh[[#This Row],[Gender]]="Female","Feminino","Masculino")</f>
        <v>Feminino</v>
      </c>
      <c r="AK416" t="str" cm="1">
        <f t="array" ref="AK416">_xlfn.IFS(H416="Life Sciences", "Ciências da Vida", H416="Other", "Outro", H416="Medical", "Médico", H416="Technical Degree", "Curso Técnico", H416="Marketing", "Marketing", H416="Human Resources", "Recursos Humanos")</f>
        <v>Curso Técnico</v>
      </c>
      <c r="AL416" t="str" cm="1">
        <f t="array" ref="AL41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17" spans="1:38" x14ac:dyDescent="0.25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IF(tbRh[[#This Row],[Gender]]="Female","Feminino","Masculino")</f>
        <v>Feminino</v>
      </c>
      <c r="AK417" t="str" cm="1">
        <f t="array" ref="AK417">_xlfn.IFS(H417="Life Sciences", "Ciências da Vida", H417="Other", "Outro", H417="Medical", "Médico", H417="Technical Degree", "Curso Técnico", H417="Marketing", "Marketing", H417="Human Resources", "Recursos Humanos")</f>
        <v>Marketing</v>
      </c>
      <c r="AL417" t="str" cm="1">
        <f t="array" ref="AL41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18" spans="1:38" x14ac:dyDescent="0.25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IF(tbRh[[#This Row],[Gender]]="Female","Feminino","Masculino")</f>
        <v>Masculino</v>
      </c>
      <c r="AK418" t="str" cm="1">
        <f t="array" ref="AK418">_xlfn.IFS(H418="Life Sciences", "Ciências da Vida", H418="Other", "Outro", H418="Medical", "Médico", H418="Technical Degree", "Curso Técnico", H418="Marketing", "Marketing", H418="Human Resources", "Recursos Humanos")</f>
        <v>Ciências da Vida</v>
      </c>
      <c r="AL418" t="str" cm="1">
        <f t="array" ref="AL4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19" spans="1:38" x14ac:dyDescent="0.25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IF(tbRh[[#This Row],[Gender]]="Female","Feminino","Masculino")</f>
        <v>Feminino</v>
      </c>
      <c r="AK419" t="str" cm="1">
        <f t="array" ref="AK419">_xlfn.IFS(H419="Life Sciences", "Ciências da Vida", H419="Other", "Outro", H419="Medical", "Médico", H419="Technical Degree", "Curso Técnico", H419="Marketing", "Marketing", H419="Human Resources", "Recursos Humanos")</f>
        <v>Ciências da Vida</v>
      </c>
      <c r="AL419" t="str" cm="1">
        <f t="array" ref="AL41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20" spans="1:38" x14ac:dyDescent="0.25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IF(tbRh[[#This Row],[Gender]]="Female","Feminino","Masculino")</f>
        <v>Feminino</v>
      </c>
      <c r="AK420" t="str" cm="1">
        <f t="array" ref="AK420">_xlfn.IFS(H420="Life Sciences", "Ciências da Vida", H420="Other", "Outro", H420="Medical", "Médico", H420="Technical Degree", "Curso Técnico", H420="Marketing", "Marketing", H420="Human Resources", "Recursos Humanos")</f>
        <v>Ciências da Vida</v>
      </c>
      <c r="AL420" t="str" cm="1">
        <f t="array" ref="AL4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21" spans="1:38" x14ac:dyDescent="0.25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IF(tbRh[[#This Row],[Gender]]="Female","Feminino","Masculino")</f>
        <v>Masculino</v>
      </c>
      <c r="AK421" t="str" cm="1">
        <f t="array" ref="AK421">_xlfn.IFS(H421="Life Sciences", "Ciências da Vida", H421="Other", "Outro", H421="Medical", "Médico", H421="Technical Degree", "Curso Técnico", H421="Marketing", "Marketing", H421="Human Resources", "Recursos Humanos")</f>
        <v>Ciências da Vida</v>
      </c>
      <c r="AL421" t="str" cm="1">
        <f t="array" ref="AL4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22" spans="1:38" x14ac:dyDescent="0.25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IF(tbRh[[#This Row],[Gender]]="Female","Feminino","Masculino")</f>
        <v>Masculino</v>
      </c>
      <c r="AK422" t="str" cm="1">
        <f t="array" ref="AK422">_xlfn.IFS(H422="Life Sciences", "Ciências da Vida", H422="Other", "Outro", H422="Medical", "Médico", H422="Technical Degree", "Curso Técnico", H422="Marketing", "Marketing", H422="Human Resources", "Recursos Humanos")</f>
        <v>Médico</v>
      </c>
      <c r="AL422" t="str" cm="1">
        <f t="array" ref="AL4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23" spans="1:38" x14ac:dyDescent="0.25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IF(tbRh[[#This Row],[Gender]]="Female","Feminino","Masculino")</f>
        <v>Feminino</v>
      </c>
      <c r="AK423" t="str" cm="1">
        <f t="array" ref="AK423">_xlfn.IFS(H423="Life Sciences", "Ciências da Vida", H423="Other", "Outro", H423="Medical", "Médico", H423="Technical Degree", "Curso Técnico", H423="Marketing", "Marketing", H423="Human Resources", "Recursos Humanos")</f>
        <v>Curso Técnico</v>
      </c>
      <c r="AL423" t="str" cm="1">
        <f t="array" ref="AL4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24" spans="1:38" x14ac:dyDescent="0.25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IF(tbRh[[#This Row],[Gender]]="Female","Feminino","Masculino")</f>
        <v>Masculino</v>
      </c>
      <c r="AK424" t="str" cm="1">
        <f t="array" ref="AK424">_xlfn.IFS(H424="Life Sciences", "Ciências da Vida", H424="Other", "Outro", H424="Medical", "Médico", H424="Technical Degree", "Curso Técnico", H424="Marketing", "Marketing", H424="Human Resources", "Recursos Humanos")</f>
        <v>Curso Técnico</v>
      </c>
      <c r="AL424" t="str" cm="1">
        <f t="array" ref="AL424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425" spans="1:38" x14ac:dyDescent="0.25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IF(tbRh[[#This Row],[Gender]]="Female","Feminino","Masculino")</f>
        <v>Feminino</v>
      </c>
      <c r="AK425" t="str" cm="1">
        <f t="array" ref="AK425">_xlfn.IFS(H425="Life Sciences", "Ciências da Vida", H425="Other", "Outro", H425="Medical", "Médico", H425="Technical Degree", "Curso Técnico", H425="Marketing", "Marketing", H425="Human Resources", "Recursos Humanos")</f>
        <v>Outro</v>
      </c>
      <c r="AL425" t="str" cm="1">
        <f t="array" ref="AL42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26" spans="1:38" x14ac:dyDescent="0.25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IF(tbRh[[#This Row],[Gender]]="Female","Feminino","Masculino")</f>
        <v>Masculino</v>
      </c>
      <c r="AK426" t="str" cm="1">
        <f t="array" ref="AK426">_xlfn.IFS(H426="Life Sciences", "Ciências da Vida", H426="Other", "Outro", H426="Medical", "Médico", H426="Technical Degree", "Curso Técnico", H426="Marketing", "Marketing", H426="Human Resources", "Recursos Humanos")</f>
        <v>Marketing</v>
      </c>
      <c r="AL426" t="str" cm="1">
        <f t="array" ref="AL42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27" spans="1:38" x14ac:dyDescent="0.25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IF(tbRh[[#This Row],[Gender]]="Female","Feminino","Masculino")</f>
        <v>Masculino</v>
      </c>
      <c r="AK427" t="str" cm="1">
        <f t="array" ref="AK427">_xlfn.IFS(H427="Life Sciences", "Ciências da Vida", H427="Other", "Outro", H427="Medical", "Médico", H427="Technical Degree", "Curso Técnico", H427="Marketing", "Marketing", H427="Human Resources", "Recursos Humanos")</f>
        <v>Ciências da Vida</v>
      </c>
      <c r="AL427" t="str" cm="1">
        <f t="array" ref="AL4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28" spans="1:38" x14ac:dyDescent="0.25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IF(tbRh[[#This Row],[Gender]]="Female","Feminino","Masculino")</f>
        <v>Feminino</v>
      </c>
      <c r="AK428" t="str" cm="1">
        <f t="array" ref="AK428">_xlfn.IFS(H428="Life Sciences", "Ciências da Vida", H428="Other", "Outro", H428="Medical", "Médico", H428="Technical Degree", "Curso Técnico", H428="Marketing", "Marketing", H428="Human Resources", "Recursos Humanos")</f>
        <v>Médico</v>
      </c>
      <c r="AL428" t="str" cm="1">
        <f t="array" ref="AL4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29" spans="1:38" x14ac:dyDescent="0.25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IF(tbRh[[#This Row],[Gender]]="Female","Feminino","Masculino")</f>
        <v>Feminino</v>
      </c>
      <c r="AK429" t="str" cm="1">
        <f t="array" ref="AK429">_xlfn.IFS(H429="Life Sciences", "Ciências da Vida", H429="Other", "Outro", H429="Medical", "Médico", H429="Technical Degree", "Curso Técnico", H429="Marketing", "Marketing", H429="Human Resources", "Recursos Humanos")</f>
        <v>Marketing</v>
      </c>
      <c r="AL429" t="str" cm="1">
        <f t="array" ref="AL4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30" spans="1:38" x14ac:dyDescent="0.25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IF(tbRh[[#This Row],[Gender]]="Female","Feminino","Masculino")</f>
        <v>Feminino</v>
      </c>
      <c r="AK430" t="str" cm="1">
        <f t="array" ref="AK430">_xlfn.IFS(H430="Life Sciences", "Ciências da Vida", H430="Other", "Outro", H430="Medical", "Médico", H430="Technical Degree", "Curso Técnico", H430="Marketing", "Marketing", H430="Human Resources", "Recursos Humanos")</f>
        <v>Médico</v>
      </c>
      <c r="AL430" t="str" cm="1">
        <f t="array" ref="AL4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1" spans="1:38" x14ac:dyDescent="0.25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IF(tbRh[[#This Row],[Gender]]="Female","Feminino","Masculino")</f>
        <v>Masculino</v>
      </c>
      <c r="AK431" t="str" cm="1">
        <f t="array" ref="AK431">_xlfn.IFS(H431="Life Sciences", "Ciências da Vida", H431="Other", "Outro", H431="Medical", "Médico", H431="Technical Degree", "Curso Técnico", H431="Marketing", "Marketing", H431="Human Resources", "Recursos Humanos")</f>
        <v>Ciências da Vida</v>
      </c>
      <c r="AL431" t="str" cm="1">
        <f t="array" ref="AL4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2" spans="1:38" x14ac:dyDescent="0.25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IF(tbRh[[#This Row],[Gender]]="Female","Feminino","Masculino")</f>
        <v>Masculino</v>
      </c>
      <c r="AK432" t="str" cm="1">
        <f t="array" ref="AK432">_xlfn.IFS(H432="Life Sciences", "Ciências da Vida", H432="Other", "Outro", H432="Medical", "Médico", H432="Technical Degree", "Curso Técnico", H432="Marketing", "Marketing", H432="Human Resources", "Recursos Humanos")</f>
        <v>Ciências da Vida</v>
      </c>
      <c r="AL432" t="str" cm="1">
        <f t="array" ref="AL4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3" spans="1:38" x14ac:dyDescent="0.25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IF(tbRh[[#This Row],[Gender]]="Female","Feminino","Masculino")</f>
        <v>Feminino</v>
      </c>
      <c r="AK433" t="str" cm="1">
        <f t="array" ref="AK433">_xlfn.IFS(H433="Life Sciences", "Ciências da Vida", H433="Other", "Outro", H433="Medical", "Médico", H433="Technical Degree", "Curso Técnico", H433="Marketing", "Marketing", H433="Human Resources", "Recursos Humanos")</f>
        <v>Ciências da Vida</v>
      </c>
      <c r="AL433" t="str" cm="1">
        <f t="array" ref="AL4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4" spans="1:38" x14ac:dyDescent="0.25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IF(tbRh[[#This Row],[Gender]]="Female","Feminino","Masculino")</f>
        <v>Masculino</v>
      </c>
      <c r="AK434" t="str" cm="1">
        <f t="array" ref="AK434">_xlfn.IFS(H434="Life Sciences", "Ciências da Vida", H434="Other", "Outro", H434="Medical", "Médico", H434="Technical Degree", "Curso Técnico", H434="Marketing", "Marketing", H434="Human Resources", "Recursos Humanos")</f>
        <v>Ciências da Vida</v>
      </c>
      <c r="AL434" t="str" cm="1">
        <f t="array" ref="AL4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5" spans="1:38" x14ac:dyDescent="0.25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IF(tbRh[[#This Row],[Gender]]="Female","Feminino","Masculino")</f>
        <v>Feminino</v>
      </c>
      <c r="AK435" t="str" cm="1">
        <f t="array" ref="AK435">_xlfn.IFS(H435="Life Sciences", "Ciências da Vida", H435="Other", "Outro", H435="Medical", "Médico", H435="Technical Degree", "Curso Técnico", H435="Marketing", "Marketing", H435="Human Resources", "Recursos Humanos")</f>
        <v>Marketing</v>
      </c>
      <c r="AL435" t="str" cm="1">
        <f t="array" ref="AL4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36" spans="1:38" x14ac:dyDescent="0.25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IF(tbRh[[#This Row],[Gender]]="Female","Feminino","Masculino")</f>
        <v>Masculino</v>
      </c>
      <c r="AK436" t="str" cm="1">
        <f t="array" ref="AK436">_xlfn.IFS(H436="Life Sciences", "Ciências da Vida", H436="Other", "Outro", H436="Medical", "Médico", H436="Technical Degree", "Curso Técnico", H436="Marketing", "Marketing", H436="Human Resources", "Recursos Humanos")</f>
        <v>Ciências da Vida</v>
      </c>
      <c r="AL436" t="str" cm="1">
        <f t="array" ref="AL4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7" spans="1:38" x14ac:dyDescent="0.25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IF(tbRh[[#This Row],[Gender]]="Female","Feminino","Masculino")</f>
        <v>Masculino</v>
      </c>
      <c r="AK437" t="str" cm="1">
        <f t="array" ref="AK437">_xlfn.IFS(H437="Life Sciences", "Ciências da Vida", H437="Other", "Outro", H437="Medical", "Médico", H437="Technical Degree", "Curso Técnico", H437="Marketing", "Marketing", H437="Human Resources", "Recursos Humanos")</f>
        <v>Médico</v>
      </c>
      <c r="AL437" t="str" cm="1">
        <f t="array" ref="AL4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8" spans="1:38" x14ac:dyDescent="0.25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IF(tbRh[[#This Row],[Gender]]="Female","Feminino","Masculino")</f>
        <v>Masculino</v>
      </c>
      <c r="AK438" t="str" cm="1">
        <f t="array" ref="AK438">_xlfn.IFS(H438="Life Sciences", "Ciências da Vida", H438="Other", "Outro", H438="Medical", "Médico", H438="Technical Degree", "Curso Técnico", H438="Marketing", "Marketing", H438="Human Resources", "Recursos Humanos")</f>
        <v>Médico</v>
      </c>
      <c r="AL438" t="str" cm="1">
        <f t="array" ref="AL4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39" spans="1:38" x14ac:dyDescent="0.25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IF(tbRh[[#This Row],[Gender]]="Female","Feminino","Masculino")</f>
        <v>Masculino</v>
      </c>
      <c r="AK439" t="str" cm="1">
        <f t="array" ref="AK439">_xlfn.IFS(H439="Life Sciences", "Ciências da Vida", H439="Other", "Outro", H439="Medical", "Médico", H439="Technical Degree", "Curso Técnico", H439="Marketing", "Marketing", H439="Human Resources", "Recursos Humanos")</f>
        <v>Marketing</v>
      </c>
      <c r="AL439" t="str" cm="1">
        <f t="array" ref="AL43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40" spans="1:38" x14ac:dyDescent="0.25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IF(tbRh[[#This Row],[Gender]]="Female","Feminino","Masculino")</f>
        <v>Masculino</v>
      </c>
      <c r="AK440" t="str" cm="1">
        <f t="array" ref="AK440">_xlfn.IFS(H440="Life Sciences", "Ciências da Vida", H440="Other", "Outro", H440="Medical", "Médico", H440="Technical Degree", "Curso Técnico", H440="Marketing", "Marketing", H440="Human Resources", "Recursos Humanos")</f>
        <v>Ciências da Vida</v>
      </c>
      <c r="AL440" t="str" cm="1">
        <f t="array" ref="AL44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41" spans="1:38" x14ac:dyDescent="0.25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IF(tbRh[[#This Row],[Gender]]="Female","Feminino","Masculino")</f>
        <v>Masculino</v>
      </c>
      <c r="AK441" t="str" cm="1">
        <f t="array" ref="AK441">_xlfn.IFS(H441="Life Sciences", "Ciências da Vida", H441="Other", "Outro", H441="Medical", "Médico", H441="Technical Degree", "Curso Técnico", H441="Marketing", "Marketing", H441="Human Resources", "Recursos Humanos")</f>
        <v>Ciências da Vida</v>
      </c>
      <c r="AL441" t="str" cm="1">
        <f t="array" ref="AL4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42" spans="1:38" x14ac:dyDescent="0.25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IF(tbRh[[#This Row],[Gender]]="Female","Feminino","Masculino")</f>
        <v>Feminino</v>
      </c>
      <c r="AK442" t="str" cm="1">
        <f t="array" ref="AK442">_xlfn.IFS(H442="Life Sciences", "Ciências da Vida", H442="Other", "Outro", H442="Medical", "Médico", H442="Technical Degree", "Curso Técnico", H442="Marketing", "Marketing", H442="Human Resources", "Recursos Humanos")</f>
        <v>Recursos Humanos</v>
      </c>
      <c r="AL442" t="str" cm="1">
        <f t="array" ref="AL44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443" spans="1:38" x14ac:dyDescent="0.25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IF(tbRh[[#This Row],[Gender]]="Female","Feminino","Masculino")</f>
        <v>Masculino</v>
      </c>
      <c r="AK443" t="str" cm="1">
        <f t="array" ref="AK443">_xlfn.IFS(H443="Life Sciences", "Ciências da Vida", H443="Other", "Outro", H443="Medical", "Médico", H443="Technical Degree", "Curso Técnico", H443="Marketing", "Marketing", H443="Human Resources", "Recursos Humanos")</f>
        <v>Outro</v>
      </c>
      <c r="AL443" t="str" cm="1">
        <f t="array" ref="AL4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44" spans="1:38" x14ac:dyDescent="0.25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IF(tbRh[[#This Row],[Gender]]="Female","Feminino","Masculino")</f>
        <v>Masculino</v>
      </c>
      <c r="AK444" t="str" cm="1">
        <f t="array" ref="AK444">_xlfn.IFS(H444="Life Sciences", "Ciências da Vida", H444="Other", "Outro", H444="Medical", "Médico", H444="Technical Degree", "Curso Técnico", H444="Marketing", "Marketing", H444="Human Resources", "Recursos Humanos")</f>
        <v>Médico</v>
      </c>
      <c r="AL444" t="str" cm="1">
        <f t="array" ref="AL44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45" spans="1:38" x14ac:dyDescent="0.25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IF(tbRh[[#This Row],[Gender]]="Female","Feminino","Masculino")</f>
        <v>Masculino</v>
      </c>
      <c r="AK445" t="str" cm="1">
        <f t="array" ref="AK445">_xlfn.IFS(H445="Life Sciences", "Ciências da Vida", H445="Other", "Outro", H445="Medical", "Médico", H445="Technical Degree", "Curso Técnico", H445="Marketing", "Marketing", H445="Human Resources", "Recursos Humanos")</f>
        <v>Curso Técnico</v>
      </c>
      <c r="AL445" t="str" cm="1">
        <f t="array" ref="AL4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46" spans="1:38" x14ac:dyDescent="0.25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IF(tbRh[[#This Row],[Gender]]="Female","Feminino","Masculino")</f>
        <v>Feminino</v>
      </c>
      <c r="AK446" t="str" cm="1">
        <f t="array" ref="AK446">_xlfn.IFS(H446="Life Sciences", "Ciências da Vida", H446="Other", "Outro", H446="Medical", "Médico", H446="Technical Degree", "Curso Técnico", H446="Marketing", "Marketing", H446="Human Resources", "Recursos Humanos")</f>
        <v>Marketing</v>
      </c>
      <c r="AL446" t="str" cm="1">
        <f t="array" ref="AL44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47" spans="1:38" x14ac:dyDescent="0.25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IF(tbRh[[#This Row],[Gender]]="Female","Feminino","Masculino")</f>
        <v>Feminino</v>
      </c>
      <c r="AK447" t="str" cm="1">
        <f t="array" ref="AK447">_xlfn.IFS(H447="Life Sciences", "Ciências da Vida", H447="Other", "Outro", H447="Medical", "Médico", H447="Technical Degree", "Curso Técnico", H447="Marketing", "Marketing", H447="Human Resources", "Recursos Humanos")</f>
        <v>Ciências da Vida</v>
      </c>
      <c r="AL447" t="str" cm="1">
        <f t="array" ref="AL44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48" spans="1:38" x14ac:dyDescent="0.25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IF(tbRh[[#This Row],[Gender]]="Female","Feminino","Masculino")</f>
        <v>Masculino</v>
      </c>
      <c r="AK448" t="str" cm="1">
        <f t="array" ref="AK448">_xlfn.IFS(H448="Life Sciences", "Ciências da Vida", H448="Other", "Outro", H448="Medical", "Médico", H448="Technical Degree", "Curso Técnico", H448="Marketing", "Marketing", H448="Human Resources", "Recursos Humanos")</f>
        <v>Ciências da Vida</v>
      </c>
      <c r="AL448" t="str" cm="1">
        <f t="array" ref="AL44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49" spans="1:38" x14ac:dyDescent="0.25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IF(tbRh[[#This Row],[Gender]]="Female","Feminino","Masculino")</f>
        <v>Masculino</v>
      </c>
      <c r="AK449" t="str" cm="1">
        <f t="array" ref="AK449">_xlfn.IFS(H449="Life Sciences", "Ciências da Vida", H449="Other", "Outro", H449="Medical", "Médico", H449="Technical Degree", "Curso Técnico", H449="Marketing", "Marketing", H449="Human Resources", "Recursos Humanos")</f>
        <v>Marketing</v>
      </c>
      <c r="AL449" t="str" cm="1">
        <f t="array" ref="AL4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50" spans="1:38" x14ac:dyDescent="0.25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IF(tbRh[[#This Row],[Gender]]="Female","Feminino","Masculino")</f>
        <v>Feminino</v>
      </c>
      <c r="AK450" t="str" cm="1">
        <f t="array" ref="AK450">_xlfn.IFS(H450="Life Sciences", "Ciências da Vida", H450="Other", "Outro", H450="Medical", "Médico", H450="Technical Degree", "Curso Técnico", H450="Marketing", "Marketing", H450="Human Resources", "Recursos Humanos")</f>
        <v>Ciências da Vida</v>
      </c>
      <c r="AL450" t="str" cm="1">
        <f t="array" ref="AL4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51" spans="1:38" x14ac:dyDescent="0.25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IF(tbRh[[#This Row],[Gender]]="Female","Feminino","Masculino")</f>
        <v>Feminino</v>
      </c>
      <c r="AK451" t="str" cm="1">
        <f t="array" ref="AK451">_xlfn.IFS(H451="Life Sciences", "Ciências da Vida", H451="Other", "Outro", H451="Medical", "Médico", H451="Technical Degree", "Curso Técnico", H451="Marketing", "Marketing", H451="Human Resources", "Recursos Humanos")</f>
        <v>Ciências da Vida</v>
      </c>
      <c r="AL451" t="str" cm="1">
        <f t="array" ref="AL4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52" spans="1:38" x14ac:dyDescent="0.25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IF(tbRh[[#This Row],[Gender]]="Female","Feminino","Masculino")</f>
        <v>Masculino</v>
      </c>
      <c r="AK452" t="str" cm="1">
        <f t="array" ref="AK452">_xlfn.IFS(H452="Life Sciences", "Ciências da Vida", H452="Other", "Outro", H452="Medical", "Médico", H452="Technical Degree", "Curso Técnico", H452="Marketing", "Marketing", H452="Human Resources", "Recursos Humanos")</f>
        <v>Ciências da Vida</v>
      </c>
      <c r="AL452" t="str" cm="1">
        <f t="array" ref="AL45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53" spans="1:38" x14ac:dyDescent="0.25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IF(tbRh[[#This Row],[Gender]]="Female","Feminino","Masculino")</f>
        <v>Masculino</v>
      </c>
      <c r="AK453" t="str" cm="1">
        <f t="array" ref="AK453">_xlfn.IFS(H453="Life Sciences", "Ciências da Vida", H453="Other", "Outro", H453="Medical", "Médico", H453="Technical Degree", "Curso Técnico", H453="Marketing", "Marketing", H453="Human Resources", "Recursos Humanos")</f>
        <v>Médico</v>
      </c>
      <c r="AL453" t="str" cm="1">
        <f t="array" ref="AL4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54" spans="1:38" x14ac:dyDescent="0.25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IF(tbRh[[#This Row],[Gender]]="Female","Feminino","Masculino")</f>
        <v>Masculino</v>
      </c>
      <c r="AK454" t="str" cm="1">
        <f t="array" ref="AK454">_xlfn.IFS(H454="Life Sciences", "Ciências da Vida", H454="Other", "Outro", H454="Medical", "Médico", H454="Technical Degree", "Curso Técnico", H454="Marketing", "Marketing", H454="Human Resources", "Recursos Humanos")</f>
        <v>Outro</v>
      </c>
      <c r="AL454" t="str" cm="1">
        <f t="array" ref="AL4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55" spans="1:38" x14ac:dyDescent="0.25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IF(tbRh[[#This Row],[Gender]]="Female","Feminino","Masculino")</f>
        <v>Feminino</v>
      </c>
      <c r="AK455" t="str" cm="1">
        <f t="array" ref="AK455">_xlfn.IFS(H455="Life Sciences", "Ciências da Vida", H455="Other", "Outro", H455="Medical", "Médico", H455="Technical Degree", "Curso Técnico", H455="Marketing", "Marketing", H455="Human Resources", "Recursos Humanos")</f>
        <v>Ciências da Vida</v>
      </c>
      <c r="AL455" t="str" cm="1">
        <f t="array" ref="AL45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456" spans="1:38" x14ac:dyDescent="0.25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IF(tbRh[[#This Row],[Gender]]="Female","Feminino","Masculino")</f>
        <v>Masculino</v>
      </c>
      <c r="AK456" t="str" cm="1">
        <f t="array" ref="AK456">_xlfn.IFS(H456="Life Sciences", "Ciências da Vida", H456="Other", "Outro", H456="Medical", "Médico", H456="Technical Degree", "Curso Técnico", H456="Marketing", "Marketing", H456="Human Resources", "Recursos Humanos")</f>
        <v>Curso Técnico</v>
      </c>
      <c r="AL456" t="str" cm="1">
        <f t="array" ref="AL45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57" spans="1:38" x14ac:dyDescent="0.25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IF(tbRh[[#This Row],[Gender]]="Female","Feminino","Masculino")</f>
        <v>Feminino</v>
      </c>
      <c r="AK457" t="str" cm="1">
        <f t="array" ref="AK457">_xlfn.IFS(H457="Life Sciences", "Ciências da Vida", H457="Other", "Outro", H457="Medical", "Médico", H457="Technical Degree", "Curso Técnico", H457="Marketing", "Marketing", H457="Human Resources", "Recursos Humanos")</f>
        <v>Médico</v>
      </c>
      <c r="AL457" t="str" cm="1">
        <f t="array" ref="AL4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58" spans="1:38" x14ac:dyDescent="0.25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IF(tbRh[[#This Row],[Gender]]="Female","Feminino","Masculino")</f>
        <v>Masculino</v>
      </c>
      <c r="AK458" t="str" cm="1">
        <f t="array" ref="AK458">_xlfn.IFS(H458="Life Sciences", "Ciências da Vida", H458="Other", "Outro", H458="Medical", "Médico", H458="Technical Degree", "Curso Técnico", H458="Marketing", "Marketing", H458="Human Resources", "Recursos Humanos")</f>
        <v>Ciências da Vida</v>
      </c>
      <c r="AL458" t="str" cm="1">
        <f t="array" ref="AL45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59" spans="1:38" x14ac:dyDescent="0.25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IF(tbRh[[#This Row],[Gender]]="Female","Feminino","Masculino")</f>
        <v>Masculino</v>
      </c>
      <c r="AK459" t="str" cm="1">
        <f t="array" ref="AK459">_xlfn.IFS(H459="Life Sciences", "Ciências da Vida", H459="Other", "Outro", H459="Medical", "Médico", H459="Technical Degree", "Curso Técnico", H459="Marketing", "Marketing", H459="Human Resources", "Recursos Humanos")</f>
        <v>Marketing</v>
      </c>
      <c r="AL459" t="str" cm="1">
        <f t="array" ref="AL45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0" spans="1:38" x14ac:dyDescent="0.25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IF(tbRh[[#This Row],[Gender]]="Female","Feminino","Masculino")</f>
        <v>Masculino</v>
      </c>
      <c r="AK460" t="str" cm="1">
        <f t="array" ref="AK460">_xlfn.IFS(H460="Life Sciences", "Ciências da Vida", H460="Other", "Outro", H460="Medical", "Médico", H460="Technical Degree", "Curso Técnico", H460="Marketing", "Marketing", H460="Human Resources", "Recursos Humanos")</f>
        <v>Outro</v>
      </c>
      <c r="AL460" t="str" cm="1">
        <f t="array" ref="AL46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1" spans="1:38" x14ac:dyDescent="0.25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IF(tbRh[[#This Row],[Gender]]="Female","Feminino","Masculino")</f>
        <v>Feminino</v>
      </c>
      <c r="AK461" t="str" cm="1">
        <f t="array" ref="AK461">_xlfn.IFS(H461="Life Sciences", "Ciências da Vida", H461="Other", "Outro", H461="Medical", "Médico", H461="Technical Degree", "Curso Técnico", H461="Marketing", "Marketing", H461="Human Resources", "Recursos Humanos")</f>
        <v>Outro</v>
      </c>
      <c r="AL461" t="str" cm="1">
        <f t="array" ref="AL4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62" spans="1:38" x14ac:dyDescent="0.25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IF(tbRh[[#This Row],[Gender]]="Female","Feminino","Masculino")</f>
        <v>Masculino</v>
      </c>
      <c r="AK462" t="str" cm="1">
        <f t="array" ref="AK462">_xlfn.IFS(H462="Life Sciences", "Ciências da Vida", H462="Other", "Outro", H462="Medical", "Médico", H462="Technical Degree", "Curso Técnico", H462="Marketing", "Marketing", H462="Human Resources", "Recursos Humanos")</f>
        <v>Médico</v>
      </c>
      <c r="AL462" t="str" cm="1">
        <f t="array" ref="AL46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3" spans="1:38" x14ac:dyDescent="0.25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IF(tbRh[[#This Row],[Gender]]="Female","Feminino","Masculino")</f>
        <v>Feminino</v>
      </c>
      <c r="AK463" t="str" cm="1">
        <f t="array" ref="AK463">_xlfn.IFS(H463="Life Sciences", "Ciências da Vida", H463="Other", "Outro", H463="Medical", "Médico", H463="Technical Degree", "Curso Técnico", H463="Marketing", "Marketing", H463="Human Resources", "Recursos Humanos")</f>
        <v>Médico</v>
      </c>
      <c r="AL463" t="str" cm="1">
        <f t="array" ref="AL46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4" spans="1:38" x14ac:dyDescent="0.25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IF(tbRh[[#This Row],[Gender]]="Female","Feminino","Masculino")</f>
        <v>Masculino</v>
      </c>
      <c r="AK464" t="str" cm="1">
        <f t="array" ref="AK464">_xlfn.IFS(H464="Life Sciences", "Ciências da Vida", H464="Other", "Outro", H464="Medical", "Médico", H464="Technical Degree", "Curso Técnico", H464="Marketing", "Marketing", H464="Human Resources", "Recursos Humanos")</f>
        <v>Ciências da Vida</v>
      </c>
      <c r="AL464" t="str" cm="1">
        <f t="array" ref="AL46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5" spans="1:38" x14ac:dyDescent="0.25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IF(tbRh[[#This Row],[Gender]]="Female","Feminino","Masculino")</f>
        <v>Masculino</v>
      </c>
      <c r="AK465" t="str" cm="1">
        <f t="array" ref="AK465">_xlfn.IFS(H465="Life Sciences", "Ciências da Vida", H465="Other", "Outro", H465="Medical", "Médico", H465="Technical Degree", "Curso Técnico", H465="Marketing", "Marketing", H465="Human Resources", "Recursos Humanos")</f>
        <v>Curso Técnico</v>
      </c>
      <c r="AL465" t="str" cm="1">
        <f t="array" ref="AL46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66" spans="1:38" x14ac:dyDescent="0.25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IF(tbRh[[#This Row],[Gender]]="Female","Feminino","Masculino")</f>
        <v>Feminino</v>
      </c>
      <c r="AK466" t="str" cm="1">
        <f t="array" ref="AK466">_xlfn.IFS(H466="Life Sciences", "Ciências da Vida", H466="Other", "Outro", H466="Medical", "Médico", H466="Technical Degree", "Curso Técnico", H466="Marketing", "Marketing", H466="Human Resources", "Recursos Humanos")</f>
        <v>Curso Técnico</v>
      </c>
      <c r="AL466" t="str" cm="1">
        <f t="array" ref="AL4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67" spans="1:38" x14ac:dyDescent="0.25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IF(tbRh[[#This Row],[Gender]]="Female","Feminino","Masculino")</f>
        <v>Feminino</v>
      </c>
      <c r="AK467" t="str" cm="1">
        <f t="array" ref="AK467">_xlfn.IFS(H467="Life Sciences", "Ciências da Vida", H467="Other", "Outro", H467="Medical", "Médico", H467="Technical Degree", "Curso Técnico", H467="Marketing", "Marketing", H467="Human Resources", "Recursos Humanos")</f>
        <v>Médico</v>
      </c>
      <c r="AL467" t="str" cm="1">
        <f t="array" ref="AL4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68" spans="1:38" x14ac:dyDescent="0.25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IF(tbRh[[#This Row],[Gender]]="Female","Feminino","Masculino")</f>
        <v>Feminino</v>
      </c>
      <c r="AK468" t="str" cm="1">
        <f t="array" ref="AK468">_xlfn.IFS(H468="Life Sciences", "Ciências da Vida", H468="Other", "Outro", H468="Medical", "Médico", H468="Technical Degree", "Curso Técnico", H468="Marketing", "Marketing", H468="Human Resources", "Recursos Humanos")</f>
        <v>Ciências da Vida</v>
      </c>
      <c r="AL468" t="str" cm="1">
        <f t="array" ref="AL46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69" spans="1:38" x14ac:dyDescent="0.25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IF(tbRh[[#This Row],[Gender]]="Female","Feminino","Masculino")</f>
        <v>Masculino</v>
      </c>
      <c r="AK469" t="str" cm="1">
        <f t="array" ref="AK469">_xlfn.IFS(H469="Life Sciences", "Ciências da Vida", H469="Other", "Outro", H469="Medical", "Médico", H469="Technical Degree", "Curso Técnico", H469="Marketing", "Marketing", H469="Human Resources", "Recursos Humanos")</f>
        <v>Médico</v>
      </c>
      <c r="AL469" t="str" cm="1">
        <f t="array" ref="AL46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70" spans="1:38" x14ac:dyDescent="0.25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IF(tbRh[[#This Row],[Gender]]="Female","Feminino","Masculino")</f>
        <v>Masculino</v>
      </c>
      <c r="AK470" t="str" cm="1">
        <f t="array" ref="AK470">_xlfn.IFS(H470="Life Sciences", "Ciências da Vida", H470="Other", "Outro", H470="Medical", "Médico", H470="Technical Degree", "Curso Técnico", H470="Marketing", "Marketing", H470="Human Resources", "Recursos Humanos")</f>
        <v>Curso Técnico</v>
      </c>
      <c r="AL470" t="str" cm="1">
        <f t="array" ref="AL4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1" spans="1:38" x14ac:dyDescent="0.25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IF(tbRh[[#This Row],[Gender]]="Female","Feminino","Masculino")</f>
        <v>Masculino</v>
      </c>
      <c r="AK471" t="str" cm="1">
        <f t="array" ref="AK471">_xlfn.IFS(H471="Life Sciences", "Ciências da Vida", H471="Other", "Outro", H471="Medical", "Médico", H471="Technical Degree", "Curso Técnico", H471="Marketing", "Marketing", H471="Human Resources", "Recursos Humanos")</f>
        <v>Outro</v>
      </c>
      <c r="AL471" t="str" cm="1">
        <f t="array" ref="AL47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72" spans="1:38" x14ac:dyDescent="0.25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IF(tbRh[[#This Row],[Gender]]="Female","Feminino","Masculino")</f>
        <v>Masculino</v>
      </c>
      <c r="AK472" t="str" cm="1">
        <f t="array" ref="AK472">_xlfn.IFS(H472="Life Sciences", "Ciências da Vida", H472="Other", "Outro", H472="Medical", "Médico", H472="Technical Degree", "Curso Técnico", H472="Marketing", "Marketing", H472="Human Resources", "Recursos Humanos")</f>
        <v>Médico</v>
      </c>
      <c r="AL472" t="str" cm="1">
        <f t="array" ref="AL4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73" spans="1:38" x14ac:dyDescent="0.25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IF(tbRh[[#This Row],[Gender]]="Female","Feminino","Masculino")</f>
        <v>Feminino</v>
      </c>
      <c r="AK473" t="str" cm="1">
        <f t="array" ref="AK473">_xlfn.IFS(H473="Life Sciences", "Ciências da Vida", H473="Other", "Outro", H473="Medical", "Médico", H473="Technical Degree", "Curso Técnico", H473="Marketing", "Marketing", H473="Human Resources", "Recursos Humanos")</f>
        <v>Médico</v>
      </c>
      <c r="AL473" t="str" cm="1">
        <f t="array" ref="AL4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4" spans="1:38" x14ac:dyDescent="0.25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IF(tbRh[[#This Row],[Gender]]="Female","Feminino","Masculino")</f>
        <v>Feminino</v>
      </c>
      <c r="AK474" t="str" cm="1">
        <f t="array" ref="AK474">_xlfn.IFS(H474="Life Sciences", "Ciências da Vida", H474="Other", "Outro", H474="Medical", "Médico", H474="Technical Degree", "Curso Técnico", H474="Marketing", "Marketing", H474="Human Resources", "Recursos Humanos")</f>
        <v>Ciências da Vida</v>
      </c>
      <c r="AL474" t="str" cm="1">
        <f t="array" ref="AL4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5" spans="1:38" x14ac:dyDescent="0.25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IF(tbRh[[#This Row],[Gender]]="Female","Feminino","Masculino")</f>
        <v>Masculino</v>
      </c>
      <c r="AK475" t="str" cm="1">
        <f t="array" ref="AK475">_xlfn.IFS(H475="Life Sciences", "Ciências da Vida", H475="Other", "Outro", H475="Medical", "Médico", H475="Technical Degree", "Curso Técnico", H475="Marketing", "Marketing", H475="Human Resources", "Recursos Humanos")</f>
        <v>Ciências da Vida</v>
      </c>
      <c r="AL475" t="str" cm="1">
        <f t="array" ref="AL4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6" spans="1:38" x14ac:dyDescent="0.25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IF(tbRh[[#This Row],[Gender]]="Female","Feminino","Masculino")</f>
        <v>Masculino</v>
      </c>
      <c r="AK476" t="str" cm="1">
        <f t="array" ref="AK476">_xlfn.IFS(H476="Life Sciences", "Ciências da Vida", H476="Other", "Outro", H476="Medical", "Médico", H476="Technical Degree", "Curso Técnico", H476="Marketing", "Marketing", H476="Human Resources", "Recursos Humanos")</f>
        <v>Médico</v>
      </c>
      <c r="AL476" t="str" cm="1">
        <f t="array" ref="AL4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7" spans="1:38" x14ac:dyDescent="0.25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IF(tbRh[[#This Row],[Gender]]="Female","Feminino","Masculino")</f>
        <v>Masculino</v>
      </c>
      <c r="AK477" t="str" cm="1">
        <f t="array" ref="AK477">_xlfn.IFS(H477="Life Sciences", "Ciências da Vida", H477="Other", "Outro", H477="Medical", "Médico", H477="Technical Degree", "Curso Técnico", H477="Marketing", "Marketing", H477="Human Resources", "Recursos Humanos")</f>
        <v>Marketing</v>
      </c>
      <c r="AL477" t="str" cm="1">
        <f t="array" ref="AL47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78" spans="1:38" x14ac:dyDescent="0.25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IF(tbRh[[#This Row],[Gender]]="Female","Feminino","Masculino")</f>
        <v>Masculino</v>
      </c>
      <c r="AK478" t="str" cm="1">
        <f t="array" ref="AK478">_xlfn.IFS(H478="Life Sciences", "Ciências da Vida", H478="Other", "Outro", H478="Medical", "Médico", H478="Technical Degree", "Curso Técnico", H478="Marketing", "Marketing", H478="Human Resources", "Recursos Humanos")</f>
        <v>Outro</v>
      </c>
      <c r="AL478" t="str" cm="1">
        <f t="array" ref="AL4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79" spans="1:38" x14ac:dyDescent="0.25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IF(tbRh[[#This Row],[Gender]]="Female","Feminino","Masculino")</f>
        <v>Masculino</v>
      </c>
      <c r="AK479" t="str" cm="1">
        <f t="array" ref="AK479">_xlfn.IFS(H479="Life Sciences", "Ciências da Vida", H479="Other", "Outro", H479="Medical", "Médico", H479="Technical Degree", "Curso Técnico", H479="Marketing", "Marketing", H479="Human Resources", "Recursos Humanos")</f>
        <v>Médico</v>
      </c>
      <c r="AL479" t="str" cm="1">
        <f t="array" ref="AL479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480" spans="1:38" x14ac:dyDescent="0.25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IF(tbRh[[#This Row],[Gender]]="Female","Feminino","Masculino")</f>
        <v>Masculino</v>
      </c>
      <c r="AK480" t="str" cm="1">
        <f t="array" ref="AK480">_xlfn.IFS(H480="Life Sciences", "Ciências da Vida", H480="Other", "Outro", H480="Medical", "Médico", H480="Technical Degree", "Curso Técnico", H480="Marketing", "Marketing", H480="Human Resources", "Recursos Humanos")</f>
        <v>Médico</v>
      </c>
      <c r="AL480" t="str" cm="1">
        <f t="array" ref="AL48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81" spans="1:38" x14ac:dyDescent="0.25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IF(tbRh[[#This Row],[Gender]]="Female","Feminino","Masculino")</f>
        <v>Feminino</v>
      </c>
      <c r="AK481" t="str" cm="1">
        <f t="array" ref="AK481">_xlfn.IFS(H481="Life Sciences", "Ciências da Vida", H481="Other", "Outro", H481="Medical", "Médico", H481="Technical Degree", "Curso Técnico", H481="Marketing", "Marketing", H481="Human Resources", "Recursos Humanos")</f>
        <v>Ciências da Vida</v>
      </c>
      <c r="AL481" t="str" cm="1">
        <f t="array" ref="AL4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82" spans="1:38" x14ac:dyDescent="0.25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IF(tbRh[[#This Row],[Gender]]="Female","Feminino","Masculino")</f>
        <v>Masculino</v>
      </c>
      <c r="AK482" t="str" cm="1">
        <f t="array" ref="AK482">_xlfn.IFS(H482="Life Sciences", "Ciências da Vida", H482="Other", "Outro", H482="Medical", "Médico", H482="Technical Degree", "Curso Técnico", H482="Marketing", "Marketing", H482="Human Resources", "Recursos Humanos")</f>
        <v>Ciências da Vida</v>
      </c>
      <c r="AL482" t="str" cm="1">
        <f t="array" ref="AL48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83" spans="1:38" x14ac:dyDescent="0.25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IF(tbRh[[#This Row],[Gender]]="Female","Feminino","Masculino")</f>
        <v>Masculino</v>
      </c>
      <c r="AK483" t="str" cm="1">
        <f t="array" ref="AK483">_xlfn.IFS(H483="Life Sciences", "Ciências da Vida", H483="Other", "Outro", H483="Medical", "Médico", H483="Technical Degree", "Curso Técnico", H483="Marketing", "Marketing", H483="Human Resources", "Recursos Humanos")</f>
        <v>Ciências da Vida</v>
      </c>
      <c r="AL483" t="str" cm="1">
        <f t="array" ref="AL4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84" spans="1:38" x14ac:dyDescent="0.25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IF(tbRh[[#This Row],[Gender]]="Female","Feminino","Masculino")</f>
        <v>Masculino</v>
      </c>
      <c r="AK484" t="str" cm="1">
        <f t="array" ref="AK484">_xlfn.IFS(H484="Life Sciences", "Ciências da Vida", H484="Other", "Outro", H484="Medical", "Médico", H484="Technical Degree", "Curso Técnico", H484="Marketing", "Marketing", H484="Human Resources", "Recursos Humanos")</f>
        <v>Médico</v>
      </c>
      <c r="AL484" t="str" cm="1">
        <f t="array" ref="AL48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85" spans="1:38" x14ac:dyDescent="0.25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IF(tbRh[[#This Row],[Gender]]="Female","Feminino","Masculino")</f>
        <v>Masculino</v>
      </c>
      <c r="AK485" t="str" cm="1">
        <f t="array" ref="AK485">_xlfn.IFS(H485="Life Sciences", "Ciências da Vida", H485="Other", "Outro", H485="Medical", "Médico", H485="Technical Degree", "Curso Técnico", H485="Marketing", "Marketing", H485="Human Resources", "Recursos Humanos")</f>
        <v>Outro</v>
      </c>
      <c r="AL485" t="str" cm="1">
        <f t="array" ref="AL4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86" spans="1:38" x14ac:dyDescent="0.25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IF(tbRh[[#This Row],[Gender]]="Female","Feminino","Masculino")</f>
        <v>Masculino</v>
      </c>
      <c r="AK486" t="str" cm="1">
        <f t="array" ref="AK486">_xlfn.IFS(H486="Life Sciences", "Ciências da Vida", H486="Other", "Outro", H486="Medical", "Médico", H486="Technical Degree", "Curso Técnico", H486="Marketing", "Marketing", H486="Human Resources", "Recursos Humanos")</f>
        <v>Médico</v>
      </c>
      <c r="AL486" t="str" cm="1">
        <f t="array" ref="AL4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87" spans="1:38" x14ac:dyDescent="0.25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IF(tbRh[[#This Row],[Gender]]="Female","Feminino","Masculino")</f>
        <v>Feminino</v>
      </c>
      <c r="AK487" t="str" cm="1">
        <f t="array" ref="AK487">_xlfn.IFS(H487="Life Sciences", "Ciências da Vida", H487="Other", "Outro", H487="Medical", "Médico", H487="Technical Degree", "Curso Técnico", H487="Marketing", "Marketing", H487="Human Resources", "Recursos Humanos")</f>
        <v>Médico</v>
      </c>
      <c r="AL487" t="str" cm="1">
        <f t="array" ref="AL4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88" spans="1:38" x14ac:dyDescent="0.25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IF(tbRh[[#This Row],[Gender]]="Female","Feminino","Masculino")</f>
        <v>Masculino</v>
      </c>
      <c r="AK488" t="str" cm="1">
        <f t="array" ref="AK488">_xlfn.IFS(H488="Life Sciences", "Ciências da Vida", H488="Other", "Outro", H488="Medical", "Médico", H488="Technical Degree", "Curso Técnico", H488="Marketing", "Marketing", H488="Human Resources", "Recursos Humanos")</f>
        <v>Marketing</v>
      </c>
      <c r="AL488" t="str" cm="1">
        <f t="array" ref="AL48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89" spans="1:38" x14ac:dyDescent="0.25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IF(tbRh[[#This Row],[Gender]]="Female","Feminino","Masculino")</f>
        <v>Feminino</v>
      </c>
      <c r="AK489" t="str" cm="1">
        <f t="array" ref="AK489">_xlfn.IFS(H489="Life Sciences", "Ciências da Vida", H489="Other", "Outro", H489="Medical", "Médico", H489="Technical Degree", "Curso Técnico", H489="Marketing", "Marketing", H489="Human Resources", "Recursos Humanos")</f>
        <v>Ciências da Vida</v>
      </c>
      <c r="AL489" t="str" cm="1">
        <f t="array" ref="AL4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90" spans="1:38" x14ac:dyDescent="0.25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IF(tbRh[[#This Row],[Gender]]="Female","Feminino","Masculino")</f>
        <v>Feminino</v>
      </c>
      <c r="AK490" t="str" cm="1">
        <f t="array" ref="AK490">_xlfn.IFS(H490="Life Sciences", "Ciências da Vida", H490="Other", "Outro", H490="Medical", "Médico", H490="Technical Degree", "Curso Técnico", H490="Marketing", "Marketing", H490="Human Resources", "Recursos Humanos")</f>
        <v>Ciências da Vida</v>
      </c>
      <c r="AL490" t="str" cm="1">
        <f t="array" ref="AL4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91" spans="1:38" x14ac:dyDescent="0.25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IF(tbRh[[#This Row],[Gender]]="Female","Feminino","Masculino")</f>
        <v>Masculino</v>
      </c>
      <c r="AK491" t="str" cm="1">
        <f t="array" ref="AK491">_xlfn.IFS(H491="Life Sciences", "Ciências da Vida", H491="Other", "Outro", H491="Medical", "Médico", H491="Technical Degree", "Curso Técnico", H491="Marketing", "Marketing", H491="Human Resources", "Recursos Humanos")</f>
        <v>Outro</v>
      </c>
      <c r="AL491" t="str" cm="1">
        <f t="array" ref="AL4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92" spans="1:38" x14ac:dyDescent="0.25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IF(tbRh[[#This Row],[Gender]]="Female","Feminino","Masculino")</f>
        <v>Feminino</v>
      </c>
      <c r="AK492" t="str" cm="1">
        <f t="array" ref="AK492">_xlfn.IFS(H492="Life Sciences", "Ciências da Vida", H492="Other", "Outro", H492="Medical", "Médico", H492="Technical Degree", "Curso Técnico", H492="Marketing", "Marketing", H492="Human Resources", "Recursos Humanos")</f>
        <v>Ciências da Vida</v>
      </c>
      <c r="AL492" t="str" cm="1">
        <f t="array" ref="AL4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93" spans="1:38" x14ac:dyDescent="0.25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IF(tbRh[[#This Row],[Gender]]="Female","Feminino","Masculino")</f>
        <v>Masculino</v>
      </c>
      <c r="AK493" t="str" cm="1">
        <f t="array" ref="AK493">_xlfn.IFS(H493="Life Sciences", "Ciências da Vida", H493="Other", "Outro", H493="Medical", "Médico", H493="Technical Degree", "Curso Técnico", H493="Marketing", "Marketing", H493="Human Resources", "Recursos Humanos")</f>
        <v>Médico</v>
      </c>
      <c r="AL493" t="str" cm="1">
        <f t="array" ref="AL4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94" spans="1:38" x14ac:dyDescent="0.25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IF(tbRh[[#This Row],[Gender]]="Female","Feminino","Masculino")</f>
        <v>Feminino</v>
      </c>
      <c r="AK494" t="str" cm="1">
        <f t="array" ref="AK494">_xlfn.IFS(H494="Life Sciences", "Ciências da Vida", H494="Other", "Outro", H494="Medical", "Médico", H494="Technical Degree", "Curso Técnico", H494="Marketing", "Marketing", H494="Human Resources", "Recursos Humanos")</f>
        <v>Ciências da Vida</v>
      </c>
      <c r="AL494" t="str" cm="1">
        <f t="array" ref="AL4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495" spans="1:38" x14ac:dyDescent="0.25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IF(tbRh[[#This Row],[Gender]]="Female","Feminino","Masculino")</f>
        <v>Feminino</v>
      </c>
      <c r="AK495" t="str" cm="1">
        <f t="array" ref="AK495">_xlfn.IFS(H495="Life Sciences", "Ciências da Vida", H495="Other", "Outro", H495="Medical", "Médico", H495="Technical Degree", "Curso Técnico", H495="Marketing", "Marketing", H495="Human Resources", "Recursos Humanos")</f>
        <v>Ciências da Vida</v>
      </c>
      <c r="AL495" t="str" cm="1">
        <f t="array" ref="AL49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496" spans="1:38" x14ac:dyDescent="0.25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IF(tbRh[[#This Row],[Gender]]="Female","Feminino","Masculino")</f>
        <v>Feminino</v>
      </c>
      <c r="AK496" t="str" cm="1">
        <f t="array" ref="AK496">_xlfn.IFS(H496="Life Sciences", "Ciências da Vida", H496="Other", "Outro", H496="Medical", "Médico", H496="Technical Degree", "Curso Técnico", H496="Marketing", "Marketing", H496="Human Resources", "Recursos Humanos")</f>
        <v>Curso Técnico</v>
      </c>
      <c r="AL496" t="str" cm="1">
        <f t="array" ref="AL49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97" spans="1:38" x14ac:dyDescent="0.25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IF(tbRh[[#This Row],[Gender]]="Female","Feminino","Masculino")</f>
        <v>Masculino</v>
      </c>
      <c r="AK497" t="str" cm="1">
        <f t="array" ref="AK497">_xlfn.IFS(H497="Life Sciences", "Ciências da Vida", H497="Other", "Outro", H497="Medical", "Médico", H497="Technical Degree", "Curso Técnico", H497="Marketing", "Marketing", H497="Human Resources", "Recursos Humanos")</f>
        <v>Marketing</v>
      </c>
      <c r="AL497" t="str" cm="1">
        <f t="array" ref="AL49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98" spans="1:38" x14ac:dyDescent="0.25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IF(tbRh[[#This Row],[Gender]]="Female","Feminino","Masculino")</f>
        <v>Masculino</v>
      </c>
      <c r="AK498" t="str" cm="1">
        <f t="array" ref="AK498">_xlfn.IFS(H498="Life Sciences", "Ciências da Vida", H498="Other", "Outro", H498="Medical", "Médico", H498="Technical Degree", "Curso Técnico", H498="Marketing", "Marketing", H498="Human Resources", "Recursos Humanos")</f>
        <v>Curso Técnico</v>
      </c>
      <c r="AL498" t="str" cm="1">
        <f t="array" ref="AL49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499" spans="1:38" x14ac:dyDescent="0.25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IF(tbRh[[#This Row],[Gender]]="Female","Feminino","Masculino")</f>
        <v>Masculino</v>
      </c>
      <c r="AK499" t="str" cm="1">
        <f t="array" ref="AK499">_xlfn.IFS(H499="Life Sciences", "Ciências da Vida", H499="Other", "Outro", H499="Medical", "Médico", H499="Technical Degree", "Curso Técnico", H499="Marketing", "Marketing", H499="Human Resources", "Recursos Humanos")</f>
        <v>Outro</v>
      </c>
      <c r="AL499" t="str" cm="1">
        <f t="array" ref="AL4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0" spans="1:38" x14ac:dyDescent="0.25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IF(tbRh[[#This Row],[Gender]]="Female","Feminino","Masculino")</f>
        <v>Masculino</v>
      </c>
      <c r="AK500" t="str" cm="1">
        <f t="array" ref="AK500">_xlfn.IFS(H500="Life Sciences", "Ciências da Vida", H500="Other", "Outro", H500="Medical", "Médico", H500="Technical Degree", "Curso Técnico", H500="Marketing", "Marketing", H500="Human Resources", "Recursos Humanos")</f>
        <v>Médico</v>
      </c>
      <c r="AL500" t="str" cm="1">
        <f t="array" ref="AL5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1" spans="1:38" x14ac:dyDescent="0.25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IF(tbRh[[#This Row],[Gender]]="Female","Feminino","Masculino")</f>
        <v>Masculino</v>
      </c>
      <c r="AK501" t="str" cm="1">
        <f t="array" ref="AK501">_xlfn.IFS(H501="Life Sciences", "Ciências da Vida", H501="Other", "Outro", H501="Medical", "Médico", H501="Technical Degree", "Curso Técnico", H501="Marketing", "Marketing", H501="Human Resources", "Recursos Humanos")</f>
        <v>Marketing</v>
      </c>
      <c r="AL501" t="str" cm="1">
        <f t="array" ref="AL50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02" spans="1:38" x14ac:dyDescent="0.25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IF(tbRh[[#This Row],[Gender]]="Female","Feminino","Masculino")</f>
        <v>Feminino</v>
      </c>
      <c r="AK502" t="str" cm="1">
        <f t="array" ref="AK502">_xlfn.IFS(H502="Life Sciences", "Ciências da Vida", H502="Other", "Outro", H502="Medical", "Médico", H502="Technical Degree", "Curso Técnico", H502="Marketing", "Marketing", H502="Human Resources", "Recursos Humanos")</f>
        <v>Ciências da Vida</v>
      </c>
      <c r="AL502" t="str" cm="1">
        <f t="array" ref="AL5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3" spans="1:38" x14ac:dyDescent="0.25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IF(tbRh[[#This Row],[Gender]]="Female","Feminino","Masculino")</f>
        <v>Feminino</v>
      </c>
      <c r="AK503" t="str" cm="1">
        <f t="array" ref="AK503">_xlfn.IFS(H503="Life Sciences", "Ciências da Vida", H503="Other", "Outro", H503="Medical", "Médico", H503="Technical Degree", "Curso Técnico", H503="Marketing", "Marketing", H503="Human Resources", "Recursos Humanos")</f>
        <v>Médico</v>
      </c>
      <c r="AL503" t="str" cm="1">
        <f t="array" ref="AL5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4" spans="1:38" x14ac:dyDescent="0.25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IF(tbRh[[#This Row],[Gender]]="Female","Feminino","Masculino")</f>
        <v>Feminino</v>
      </c>
      <c r="AK504" t="str" cm="1">
        <f t="array" ref="AK504">_xlfn.IFS(H504="Life Sciences", "Ciências da Vida", H504="Other", "Outro", H504="Medical", "Médico", H504="Technical Degree", "Curso Técnico", H504="Marketing", "Marketing", H504="Human Resources", "Recursos Humanos")</f>
        <v>Médico</v>
      </c>
      <c r="AL504" t="str" cm="1">
        <f t="array" ref="AL50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05" spans="1:38" x14ac:dyDescent="0.25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IF(tbRh[[#This Row],[Gender]]="Female","Feminino","Masculino")</f>
        <v>Masculino</v>
      </c>
      <c r="AK505" t="str" cm="1">
        <f t="array" ref="AK505">_xlfn.IFS(H505="Life Sciences", "Ciências da Vida", H505="Other", "Outro", H505="Medical", "Médico", H505="Technical Degree", "Curso Técnico", H505="Marketing", "Marketing", H505="Human Resources", "Recursos Humanos")</f>
        <v>Ciências da Vida</v>
      </c>
      <c r="AL505" t="str" cm="1">
        <f t="array" ref="AL5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6" spans="1:38" x14ac:dyDescent="0.25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IF(tbRh[[#This Row],[Gender]]="Female","Feminino","Masculino")</f>
        <v>Feminino</v>
      </c>
      <c r="AK506" t="str" cm="1">
        <f t="array" ref="AK506">_xlfn.IFS(H506="Life Sciences", "Ciências da Vida", H506="Other", "Outro", H506="Medical", "Médico", H506="Technical Degree", "Curso Técnico", H506="Marketing", "Marketing", H506="Human Resources", "Recursos Humanos")</f>
        <v>Ciências da Vida</v>
      </c>
      <c r="AL506" t="str" cm="1">
        <f t="array" ref="AL50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07" spans="1:38" x14ac:dyDescent="0.25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IF(tbRh[[#This Row],[Gender]]="Female","Feminino","Masculino")</f>
        <v>Feminino</v>
      </c>
      <c r="AK507" t="str" cm="1">
        <f t="array" ref="AK507">_xlfn.IFS(H507="Life Sciences", "Ciências da Vida", H507="Other", "Outro", H507="Medical", "Médico", H507="Technical Degree", "Curso Técnico", H507="Marketing", "Marketing", H507="Human Resources", "Recursos Humanos")</f>
        <v>Ciências da Vida</v>
      </c>
      <c r="AL507" t="str" cm="1">
        <f t="array" ref="AL5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8" spans="1:38" x14ac:dyDescent="0.25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IF(tbRh[[#This Row],[Gender]]="Female","Feminino","Masculino")</f>
        <v>Masculino</v>
      </c>
      <c r="AK508" t="str" cm="1">
        <f t="array" ref="AK508">_xlfn.IFS(H508="Life Sciences", "Ciências da Vida", H508="Other", "Outro", H508="Medical", "Médico", H508="Technical Degree", "Curso Técnico", H508="Marketing", "Marketing", H508="Human Resources", "Recursos Humanos")</f>
        <v>Outro</v>
      </c>
      <c r="AL508" t="str" cm="1">
        <f t="array" ref="AL5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09" spans="1:38" x14ac:dyDescent="0.25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IF(tbRh[[#This Row],[Gender]]="Female","Feminino","Masculino")</f>
        <v>Feminino</v>
      </c>
      <c r="AK509" t="str" cm="1">
        <f t="array" ref="AK509">_xlfn.IFS(H509="Life Sciences", "Ciências da Vida", H509="Other", "Outro", H509="Medical", "Médico", H509="Technical Degree", "Curso Técnico", H509="Marketing", "Marketing", H509="Human Resources", "Recursos Humanos")</f>
        <v>Médico</v>
      </c>
      <c r="AL509" t="str" cm="1">
        <f t="array" ref="AL50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10" spans="1:38" x14ac:dyDescent="0.25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IF(tbRh[[#This Row],[Gender]]="Female","Feminino","Masculino")</f>
        <v>Masculino</v>
      </c>
      <c r="AK510" t="str" cm="1">
        <f t="array" ref="AK510">_xlfn.IFS(H510="Life Sciences", "Ciências da Vida", H510="Other", "Outro", H510="Medical", "Médico", H510="Technical Degree", "Curso Técnico", H510="Marketing", "Marketing", H510="Human Resources", "Recursos Humanos")</f>
        <v>Ciências da Vida</v>
      </c>
      <c r="AL510" t="str" cm="1">
        <f t="array" ref="AL5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1" spans="1:38" x14ac:dyDescent="0.25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IF(tbRh[[#This Row],[Gender]]="Female","Feminino","Masculino")</f>
        <v>Masculino</v>
      </c>
      <c r="AK511" t="str" cm="1">
        <f t="array" ref="AK511">_xlfn.IFS(H511="Life Sciences", "Ciências da Vida", H511="Other", "Outro", H511="Medical", "Médico", H511="Technical Degree", "Curso Técnico", H511="Marketing", "Marketing", H511="Human Resources", "Recursos Humanos")</f>
        <v>Ciências da Vida</v>
      </c>
      <c r="AL511" t="str" cm="1">
        <f t="array" ref="AL5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2" spans="1:38" x14ac:dyDescent="0.25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IF(tbRh[[#This Row],[Gender]]="Female","Feminino","Masculino")</f>
        <v>Masculino</v>
      </c>
      <c r="AK512" t="str" cm="1">
        <f t="array" ref="AK512">_xlfn.IFS(H512="Life Sciences", "Ciências da Vida", H512="Other", "Outro", H512="Medical", "Médico", H512="Technical Degree", "Curso Técnico", H512="Marketing", "Marketing", H512="Human Resources", "Recursos Humanos")</f>
        <v>Médico</v>
      </c>
      <c r="AL512" t="str" cm="1">
        <f t="array" ref="AL51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513" spans="1:38" x14ac:dyDescent="0.25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IF(tbRh[[#This Row],[Gender]]="Female","Feminino","Masculino")</f>
        <v>Masculino</v>
      </c>
      <c r="AK513" t="str" cm="1">
        <f t="array" ref="AK513">_xlfn.IFS(H513="Life Sciences", "Ciências da Vida", H513="Other", "Outro", H513="Medical", "Médico", H513="Technical Degree", "Curso Técnico", H513="Marketing", "Marketing", H513="Human Resources", "Recursos Humanos")</f>
        <v>Médico</v>
      </c>
      <c r="AL513" t="str" cm="1">
        <f t="array" ref="AL5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4" spans="1:38" x14ac:dyDescent="0.25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IF(tbRh[[#This Row],[Gender]]="Female","Feminino","Masculino")</f>
        <v>Masculino</v>
      </c>
      <c r="AK514" t="str" cm="1">
        <f t="array" ref="AK514">_xlfn.IFS(H514="Life Sciences", "Ciências da Vida", H514="Other", "Outro", H514="Medical", "Médico", H514="Technical Degree", "Curso Técnico", H514="Marketing", "Marketing", H514="Human Resources", "Recursos Humanos")</f>
        <v>Médico</v>
      </c>
      <c r="AL514" t="str" cm="1">
        <f t="array" ref="AL5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5" spans="1:38" x14ac:dyDescent="0.25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IF(tbRh[[#This Row],[Gender]]="Female","Feminino","Masculino")</f>
        <v>Masculino</v>
      </c>
      <c r="AK515" t="str" cm="1">
        <f t="array" ref="AK515">_xlfn.IFS(H515="Life Sciences", "Ciências da Vida", H515="Other", "Outro", H515="Medical", "Médico", H515="Technical Degree", "Curso Técnico", H515="Marketing", "Marketing", H515="Human Resources", "Recursos Humanos")</f>
        <v>Médico</v>
      </c>
      <c r="AL515" t="str" cm="1">
        <f t="array" ref="AL5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6" spans="1:38" x14ac:dyDescent="0.25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IF(tbRh[[#This Row],[Gender]]="Female","Feminino","Masculino")</f>
        <v>Masculino</v>
      </c>
      <c r="AK516" t="str" cm="1">
        <f t="array" ref="AK516">_xlfn.IFS(H516="Life Sciences", "Ciências da Vida", H516="Other", "Outro", H516="Medical", "Médico", H516="Technical Degree", "Curso Técnico", H516="Marketing", "Marketing", H516="Human Resources", "Recursos Humanos")</f>
        <v>Ciências da Vida</v>
      </c>
      <c r="AL516" t="str" cm="1">
        <f t="array" ref="AL5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7" spans="1:38" x14ac:dyDescent="0.25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IF(tbRh[[#This Row],[Gender]]="Female","Feminino","Masculino")</f>
        <v>Masculino</v>
      </c>
      <c r="AK517" t="str" cm="1">
        <f t="array" ref="AK517">_xlfn.IFS(H517="Life Sciences", "Ciências da Vida", H517="Other", "Outro", H517="Medical", "Médico", H517="Technical Degree", "Curso Técnico", H517="Marketing", "Marketing", H517="Human Resources", "Recursos Humanos")</f>
        <v>Ciências da Vida</v>
      </c>
      <c r="AL517" t="str" cm="1">
        <f t="array" ref="AL5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8" spans="1:38" x14ac:dyDescent="0.25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IF(tbRh[[#This Row],[Gender]]="Female","Feminino","Masculino")</f>
        <v>Masculino</v>
      </c>
      <c r="AK518" t="str" cm="1">
        <f t="array" ref="AK518">_xlfn.IFS(H518="Life Sciences", "Ciências da Vida", H518="Other", "Outro", H518="Medical", "Médico", H518="Technical Degree", "Curso Técnico", H518="Marketing", "Marketing", H518="Human Resources", "Recursos Humanos")</f>
        <v>Médico</v>
      </c>
      <c r="AL518" t="str" cm="1">
        <f t="array" ref="AL5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19" spans="1:38" x14ac:dyDescent="0.25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IF(tbRh[[#This Row],[Gender]]="Female","Feminino","Masculino")</f>
        <v>Masculino</v>
      </c>
      <c r="AK519" t="str" cm="1">
        <f t="array" ref="AK519">_xlfn.IFS(H519="Life Sciences", "Ciências da Vida", H519="Other", "Outro", H519="Medical", "Médico", H519="Technical Degree", "Curso Técnico", H519="Marketing", "Marketing", H519="Human Resources", "Recursos Humanos")</f>
        <v>Ciências da Vida</v>
      </c>
      <c r="AL519" t="str" cm="1">
        <f t="array" ref="AL51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20" spans="1:38" x14ac:dyDescent="0.25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IF(tbRh[[#This Row],[Gender]]="Female","Feminino","Masculino")</f>
        <v>Feminino</v>
      </c>
      <c r="AK520" t="str" cm="1">
        <f t="array" ref="AK520">_xlfn.IFS(H520="Life Sciences", "Ciências da Vida", H520="Other", "Outro", H520="Medical", "Médico", H520="Technical Degree", "Curso Técnico", H520="Marketing", "Marketing", H520="Human Resources", "Recursos Humanos")</f>
        <v>Marketing</v>
      </c>
      <c r="AL520" t="str" cm="1">
        <f t="array" ref="AL52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21" spans="1:38" x14ac:dyDescent="0.25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IF(tbRh[[#This Row],[Gender]]="Female","Feminino","Masculino")</f>
        <v>Masculino</v>
      </c>
      <c r="AK521" t="str" cm="1">
        <f t="array" ref="AK521">_xlfn.IFS(H521="Life Sciences", "Ciências da Vida", H521="Other", "Outro", H521="Medical", "Médico", H521="Technical Degree", "Curso Técnico", H521="Marketing", "Marketing", H521="Human Resources", "Recursos Humanos")</f>
        <v>Ciências da Vida</v>
      </c>
      <c r="AL521" t="str" cm="1">
        <f t="array" ref="AL5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22" spans="1:38" x14ac:dyDescent="0.25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IF(tbRh[[#This Row],[Gender]]="Female","Feminino","Masculino")</f>
        <v>Masculino</v>
      </c>
      <c r="AK522" t="str" cm="1">
        <f t="array" ref="AK522">_xlfn.IFS(H522="Life Sciences", "Ciências da Vida", H522="Other", "Outro", H522="Medical", "Médico", H522="Technical Degree", "Curso Técnico", H522="Marketing", "Marketing", H522="Human Resources", "Recursos Humanos")</f>
        <v>Marketing</v>
      </c>
      <c r="AL522" t="str" cm="1">
        <f t="array" ref="AL52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23" spans="1:38" x14ac:dyDescent="0.25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IF(tbRh[[#This Row],[Gender]]="Female","Feminino","Masculino")</f>
        <v>Feminino</v>
      </c>
      <c r="AK523" t="str" cm="1">
        <f t="array" ref="AK523">_xlfn.IFS(H523="Life Sciences", "Ciências da Vida", H523="Other", "Outro", H523="Medical", "Médico", H523="Technical Degree", "Curso Técnico", H523="Marketing", "Marketing", H523="Human Resources", "Recursos Humanos")</f>
        <v>Médico</v>
      </c>
      <c r="AL523" t="str" cm="1">
        <f t="array" ref="AL5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24" spans="1:38" x14ac:dyDescent="0.25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IF(tbRh[[#This Row],[Gender]]="Female","Feminino","Masculino")</f>
        <v>Masculino</v>
      </c>
      <c r="AK524" t="str" cm="1">
        <f t="array" ref="AK524">_xlfn.IFS(H524="Life Sciences", "Ciências da Vida", H524="Other", "Outro", H524="Medical", "Médico", H524="Technical Degree", "Curso Técnico", H524="Marketing", "Marketing", H524="Human Resources", "Recursos Humanos")</f>
        <v>Ciências da Vida</v>
      </c>
      <c r="AL524" t="str" cm="1">
        <f t="array" ref="AL5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25" spans="1:38" x14ac:dyDescent="0.25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IF(tbRh[[#This Row],[Gender]]="Female","Feminino","Masculino")</f>
        <v>Masculino</v>
      </c>
      <c r="AK525" t="str" cm="1">
        <f t="array" ref="AK525">_xlfn.IFS(H525="Life Sciences", "Ciências da Vida", H525="Other", "Outro", H525="Medical", "Médico", H525="Technical Degree", "Curso Técnico", H525="Marketing", "Marketing", H525="Human Resources", "Recursos Humanos")</f>
        <v>Médico</v>
      </c>
      <c r="AL525" t="str" cm="1">
        <f t="array" ref="AL5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26" spans="1:38" x14ac:dyDescent="0.25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IF(tbRh[[#This Row],[Gender]]="Female","Feminino","Masculino")</f>
        <v>Feminino</v>
      </c>
      <c r="AK526" t="str" cm="1">
        <f t="array" ref="AK526">_xlfn.IFS(H526="Life Sciences", "Ciências da Vida", H526="Other", "Outro", H526="Medical", "Médico", H526="Technical Degree", "Curso Técnico", H526="Marketing", "Marketing", H526="Human Resources", "Recursos Humanos")</f>
        <v>Médico</v>
      </c>
      <c r="AL526" t="str" cm="1">
        <f t="array" ref="AL5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27" spans="1:38" x14ac:dyDescent="0.25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IF(tbRh[[#This Row],[Gender]]="Female","Feminino","Masculino")</f>
        <v>Feminino</v>
      </c>
      <c r="AK527" t="str" cm="1">
        <f t="array" ref="AK527">_xlfn.IFS(H527="Life Sciences", "Ciências da Vida", H527="Other", "Outro", H527="Medical", "Médico", H527="Technical Degree", "Curso Técnico", H527="Marketing", "Marketing", H527="Human Resources", "Recursos Humanos")</f>
        <v>Ciências da Vida</v>
      </c>
      <c r="AL527" t="str" cm="1">
        <f t="array" ref="AL52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28" spans="1:38" x14ac:dyDescent="0.25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IF(tbRh[[#This Row],[Gender]]="Female","Feminino","Masculino")</f>
        <v>Feminino</v>
      </c>
      <c r="AK528" t="str" cm="1">
        <f t="array" ref="AK528">_xlfn.IFS(H528="Life Sciences", "Ciências da Vida", H528="Other", "Outro", H528="Medical", "Médico", H528="Technical Degree", "Curso Técnico", H528="Marketing", "Marketing", H528="Human Resources", "Recursos Humanos")</f>
        <v>Curso Técnico</v>
      </c>
      <c r="AL528" t="str" cm="1">
        <f t="array" ref="AL5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29" spans="1:38" x14ac:dyDescent="0.25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IF(tbRh[[#This Row],[Gender]]="Female","Feminino","Masculino")</f>
        <v>Masculino</v>
      </c>
      <c r="AK529" t="str" cm="1">
        <f t="array" ref="AK529">_xlfn.IFS(H529="Life Sciences", "Ciências da Vida", H529="Other", "Outro", H529="Medical", "Médico", H529="Technical Degree", "Curso Técnico", H529="Marketing", "Marketing", H529="Human Resources", "Recursos Humanos")</f>
        <v>Marketing</v>
      </c>
      <c r="AL529" t="str" cm="1">
        <f t="array" ref="AL5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30" spans="1:38" x14ac:dyDescent="0.25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IF(tbRh[[#This Row],[Gender]]="Female","Feminino","Masculino")</f>
        <v>Masculino</v>
      </c>
      <c r="AK530" t="str" cm="1">
        <f t="array" ref="AK530">_xlfn.IFS(H530="Life Sciences", "Ciências da Vida", H530="Other", "Outro", H530="Medical", "Médico", H530="Technical Degree", "Curso Técnico", H530="Marketing", "Marketing", H530="Human Resources", "Recursos Humanos")</f>
        <v>Curso Técnico</v>
      </c>
      <c r="AL530" t="str" cm="1">
        <f t="array" ref="AL53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31" spans="1:38" x14ac:dyDescent="0.25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IF(tbRh[[#This Row],[Gender]]="Female","Feminino","Masculino")</f>
        <v>Feminino</v>
      </c>
      <c r="AK531" t="str" cm="1">
        <f t="array" ref="AK531">_xlfn.IFS(H531="Life Sciences", "Ciências da Vida", H531="Other", "Outro", H531="Medical", "Médico", H531="Technical Degree", "Curso Técnico", H531="Marketing", "Marketing", H531="Human Resources", "Recursos Humanos")</f>
        <v>Ciências da Vida</v>
      </c>
      <c r="AL531" t="str" cm="1">
        <f t="array" ref="AL5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32" spans="1:38" x14ac:dyDescent="0.25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IF(tbRh[[#This Row],[Gender]]="Female","Feminino","Masculino")</f>
        <v>Feminino</v>
      </c>
      <c r="AK532" t="str" cm="1">
        <f t="array" ref="AK532">_xlfn.IFS(H532="Life Sciences", "Ciências da Vida", H532="Other", "Outro", H532="Medical", "Médico", H532="Technical Degree", "Curso Técnico", H532="Marketing", "Marketing", H532="Human Resources", "Recursos Humanos")</f>
        <v>Ciências da Vida</v>
      </c>
      <c r="AL532" t="str" cm="1">
        <f t="array" ref="AL5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33" spans="1:38" x14ac:dyDescent="0.25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IF(tbRh[[#This Row],[Gender]]="Female","Feminino","Masculino")</f>
        <v>Feminino</v>
      </c>
      <c r="AK533" t="str" cm="1">
        <f t="array" ref="AK533">_xlfn.IFS(H533="Life Sciences", "Ciências da Vida", H533="Other", "Outro", H533="Medical", "Médico", H533="Technical Degree", "Curso Técnico", H533="Marketing", "Marketing", H533="Human Resources", "Recursos Humanos")</f>
        <v>Ciências da Vida</v>
      </c>
      <c r="AL533" t="str" cm="1">
        <f t="array" ref="AL5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34" spans="1:38" x14ac:dyDescent="0.25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IF(tbRh[[#This Row],[Gender]]="Female","Feminino","Masculino")</f>
        <v>Masculino</v>
      </c>
      <c r="AK534" t="str" cm="1">
        <f t="array" ref="AK534">_xlfn.IFS(H534="Life Sciences", "Ciências da Vida", H534="Other", "Outro", H534="Medical", "Médico", H534="Technical Degree", "Curso Técnico", H534="Marketing", "Marketing", H534="Human Resources", "Recursos Humanos")</f>
        <v>Marketing</v>
      </c>
      <c r="AL534" t="str" cm="1">
        <f t="array" ref="AL53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35" spans="1:38" x14ac:dyDescent="0.25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IF(tbRh[[#This Row],[Gender]]="Female","Feminino","Masculino")</f>
        <v>Masculino</v>
      </c>
      <c r="AK535" t="str" cm="1">
        <f t="array" ref="AK535">_xlfn.IFS(H535="Life Sciences", "Ciências da Vida", H535="Other", "Outro", H535="Medical", "Médico", H535="Technical Degree", "Curso Técnico", H535="Marketing", "Marketing", H535="Human Resources", "Recursos Humanos")</f>
        <v>Ciências da Vida</v>
      </c>
      <c r="AL535" t="str" cm="1">
        <f t="array" ref="AL5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36" spans="1:38" x14ac:dyDescent="0.25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IF(tbRh[[#This Row],[Gender]]="Female","Feminino","Masculino")</f>
        <v>Masculino</v>
      </c>
      <c r="AK536" t="str" cm="1">
        <f t="array" ref="AK536">_xlfn.IFS(H536="Life Sciences", "Ciências da Vida", H536="Other", "Outro", H536="Medical", "Médico", H536="Technical Degree", "Curso Técnico", H536="Marketing", "Marketing", H536="Human Resources", "Recursos Humanos")</f>
        <v>Ciências da Vida</v>
      </c>
      <c r="AL536" t="str" cm="1">
        <f t="array" ref="AL5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37" spans="1:38" x14ac:dyDescent="0.25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IF(tbRh[[#This Row],[Gender]]="Female","Feminino","Masculino")</f>
        <v>Masculino</v>
      </c>
      <c r="AK537" t="str" cm="1">
        <f t="array" ref="AK537">_xlfn.IFS(H537="Life Sciences", "Ciências da Vida", H537="Other", "Outro", H537="Medical", "Médico", H537="Technical Degree", "Curso Técnico", H537="Marketing", "Marketing", H537="Human Resources", "Recursos Humanos")</f>
        <v>Recursos Humanos</v>
      </c>
      <c r="AL537" t="str" cm="1">
        <f t="array" ref="AL53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538" spans="1:38" x14ac:dyDescent="0.25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IF(tbRh[[#This Row],[Gender]]="Female","Feminino","Masculino")</f>
        <v>Masculino</v>
      </c>
      <c r="AK538" t="str" cm="1">
        <f t="array" ref="AK538">_xlfn.IFS(H538="Life Sciences", "Ciências da Vida", H538="Other", "Outro", H538="Medical", "Médico", H538="Technical Degree", "Curso Técnico", H538="Marketing", "Marketing", H538="Human Resources", "Recursos Humanos")</f>
        <v>Marketing</v>
      </c>
      <c r="AL538" t="str" cm="1">
        <f t="array" ref="AL53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39" spans="1:38" x14ac:dyDescent="0.25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IF(tbRh[[#This Row],[Gender]]="Female","Feminino","Masculino")</f>
        <v>Masculino</v>
      </c>
      <c r="AK539" t="str" cm="1">
        <f t="array" ref="AK539">_xlfn.IFS(H539="Life Sciences", "Ciências da Vida", H539="Other", "Outro", H539="Medical", "Médico", H539="Technical Degree", "Curso Técnico", H539="Marketing", "Marketing", H539="Human Resources", "Recursos Humanos")</f>
        <v>Ciências da Vida</v>
      </c>
      <c r="AL539" t="str" cm="1">
        <f t="array" ref="AL5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40" spans="1:38" x14ac:dyDescent="0.25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IF(tbRh[[#This Row],[Gender]]="Female","Feminino","Masculino")</f>
        <v>Masculino</v>
      </c>
      <c r="AK540" t="str" cm="1">
        <f t="array" ref="AK540">_xlfn.IFS(H540="Life Sciences", "Ciências da Vida", H540="Other", "Outro", H540="Medical", "Médico", H540="Technical Degree", "Curso Técnico", H540="Marketing", "Marketing", H540="Human Resources", "Recursos Humanos")</f>
        <v>Recursos Humanos</v>
      </c>
      <c r="AL540" t="str" cm="1">
        <f t="array" ref="AL540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541" spans="1:38" x14ac:dyDescent="0.25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IF(tbRh[[#This Row],[Gender]]="Female","Feminino","Masculino")</f>
        <v>Masculino</v>
      </c>
      <c r="AK541" t="str" cm="1">
        <f t="array" ref="AK541">_xlfn.IFS(H541="Life Sciences", "Ciências da Vida", H541="Other", "Outro", H541="Medical", "Médico", H541="Technical Degree", "Curso Técnico", H541="Marketing", "Marketing", H541="Human Resources", "Recursos Humanos")</f>
        <v>Marketing</v>
      </c>
      <c r="AL541" t="str" cm="1">
        <f t="array" ref="AL54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42" spans="1:38" x14ac:dyDescent="0.25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IF(tbRh[[#This Row],[Gender]]="Female","Feminino","Masculino")</f>
        <v>Feminino</v>
      </c>
      <c r="AK542" t="str" cm="1">
        <f t="array" ref="AK542">_xlfn.IFS(H542="Life Sciences", "Ciências da Vida", H542="Other", "Outro", H542="Medical", "Médico", H542="Technical Degree", "Curso Técnico", H542="Marketing", "Marketing", H542="Human Resources", "Recursos Humanos")</f>
        <v>Ciências da Vida</v>
      </c>
      <c r="AL542" t="str" cm="1">
        <f t="array" ref="AL5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43" spans="1:38" x14ac:dyDescent="0.25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IF(tbRh[[#This Row],[Gender]]="Female","Feminino","Masculino")</f>
        <v>Feminino</v>
      </c>
      <c r="AK543" t="str" cm="1">
        <f t="array" ref="AK543">_xlfn.IFS(H543="Life Sciences", "Ciências da Vida", H543="Other", "Outro", H543="Medical", "Médico", H543="Technical Degree", "Curso Técnico", H543="Marketing", "Marketing", H543="Human Resources", "Recursos Humanos")</f>
        <v>Ciências da Vida</v>
      </c>
      <c r="AL543" t="str" cm="1">
        <f t="array" ref="AL5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44" spans="1:38" x14ac:dyDescent="0.25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IF(tbRh[[#This Row],[Gender]]="Female","Feminino","Masculino")</f>
        <v>Feminino</v>
      </c>
      <c r="AK544" t="str" cm="1">
        <f t="array" ref="AK544">_xlfn.IFS(H544="Life Sciences", "Ciências da Vida", H544="Other", "Outro", H544="Medical", "Médico", H544="Technical Degree", "Curso Técnico", H544="Marketing", "Marketing", H544="Human Resources", "Recursos Humanos")</f>
        <v>Ciências da Vida</v>
      </c>
      <c r="AL544" t="str" cm="1">
        <f t="array" ref="AL5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45" spans="1:38" x14ac:dyDescent="0.25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IF(tbRh[[#This Row],[Gender]]="Female","Feminino","Masculino")</f>
        <v>Masculino</v>
      </c>
      <c r="AK545" t="str" cm="1">
        <f t="array" ref="AK545">_xlfn.IFS(H545="Life Sciences", "Ciências da Vida", H545="Other", "Outro", H545="Medical", "Médico", H545="Technical Degree", "Curso Técnico", H545="Marketing", "Marketing", H545="Human Resources", "Recursos Humanos")</f>
        <v>Médico</v>
      </c>
      <c r="AL545" t="str" cm="1">
        <f t="array" ref="AL5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46" spans="1:38" x14ac:dyDescent="0.25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IF(tbRh[[#This Row],[Gender]]="Female","Feminino","Masculino")</f>
        <v>Feminino</v>
      </c>
      <c r="AK546" t="str" cm="1">
        <f t="array" ref="AK546">_xlfn.IFS(H546="Life Sciences", "Ciências da Vida", H546="Other", "Outro", H546="Medical", "Médico", H546="Technical Degree", "Curso Técnico", H546="Marketing", "Marketing", H546="Human Resources", "Recursos Humanos")</f>
        <v>Médico</v>
      </c>
      <c r="AL546" t="str" cm="1">
        <f t="array" ref="AL54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47" spans="1:38" x14ac:dyDescent="0.25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IF(tbRh[[#This Row],[Gender]]="Female","Feminino","Masculino")</f>
        <v>Masculino</v>
      </c>
      <c r="AK547" t="str" cm="1">
        <f t="array" ref="AK547">_xlfn.IFS(H547="Life Sciences", "Ciências da Vida", H547="Other", "Outro", H547="Medical", "Médico", H547="Technical Degree", "Curso Técnico", H547="Marketing", "Marketing", H547="Human Resources", "Recursos Humanos")</f>
        <v>Marketing</v>
      </c>
      <c r="AL547" t="str" cm="1">
        <f t="array" ref="AL54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48" spans="1:38" x14ac:dyDescent="0.25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IF(tbRh[[#This Row],[Gender]]="Female","Feminino","Masculino")</f>
        <v>Masculino</v>
      </c>
      <c r="AK548" t="str" cm="1">
        <f t="array" ref="AK548">_xlfn.IFS(H548="Life Sciences", "Ciências da Vida", H548="Other", "Outro", H548="Medical", "Médico", H548="Technical Degree", "Curso Técnico", H548="Marketing", "Marketing", H548="Human Resources", "Recursos Humanos")</f>
        <v>Ciências da Vida</v>
      </c>
      <c r="AL548" t="str" cm="1">
        <f t="array" ref="AL54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49" spans="1:38" x14ac:dyDescent="0.25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IF(tbRh[[#This Row],[Gender]]="Female","Feminino","Masculino")</f>
        <v>Masculino</v>
      </c>
      <c r="AK549" t="str" cm="1">
        <f t="array" ref="AK549">_xlfn.IFS(H549="Life Sciences", "Ciências da Vida", H549="Other", "Outro", H549="Medical", "Médico", H549="Technical Degree", "Curso Técnico", H549="Marketing", "Marketing", H549="Human Resources", "Recursos Humanos")</f>
        <v>Médico</v>
      </c>
      <c r="AL549" t="str" cm="1">
        <f t="array" ref="AL5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0" spans="1:38" x14ac:dyDescent="0.25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IF(tbRh[[#This Row],[Gender]]="Female","Feminino","Masculino")</f>
        <v>Masculino</v>
      </c>
      <c r="AK550" t="str" cm="1">
        <f t="array" ref="AK550">_xlfn.IFS(H550="Life Sciences", "Ciências da Vida", H550="Other", "Outro", H550="Medical", "Médico", H550="Technical Degree", "Curso Técnico", H550="Marketing", "Marketing", H550="Human Resources", "Recursos Humanos")</f>
        <v>Ciências da Vida</v>
      </c>
      <c r="AL550" t="str" cm="1">
        <f t="array" ref="AL55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51" spans="1:38" x14ac:dyDescent="0.25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IF(tbRh[[#This Row],[Gender]]="Female","Feminino","Masculino")</f>
        <v>Feminino</v>
      </c>
      <c r="AK551" t="str" cm="1">
        <f t="array" ref="AK551">_xlfn.IFS(H551="Life Sciences", "Ciências da Vida", H551="Other", "Outro", H551="Medical", "Médico", H551="Technical Degree", "Curso Técnico", H551="Marketing", "Marketing", H551="Human Resources", "Recursos Humanos")</f>
        <v>Médico</v>
      </c>
      <c r="AL551" t="str" cm="1">
        <f t="array" ref="AL5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2" spans="1:38" x14ac:dyDescent="0.25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IF(tbRh[[#This Row],[Gender]]="Female","Feminino","Masculino")</f>
        <v>Masculino</v>
      </c>
      <c r="AK552" t="str" cm="1">
        <f t="array" ref="AK552">_xlfn.IFS(H552="Life Sciences", "Ciências da Vida", H552="Other", "Outro", H552="Medical", "Médico", H552="Technical Degree", "Curso Técnico", H552="Marketing", "Marketing", H552="Human Resources", "Recursos Humanos")</f>
        <v>Médico</v>
      </c>
      <c r="AL552" t="str" cm="1">
        <f t="array" ref="AL5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3" spans="1:38" x14ac:dyDescent="0.25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IF(tbRh[[#This Row],[Gender]]="Female","Feminino","Masculino")</f>
        <v>Feminino</v>
      </c>
      <c r="AK553" t="str" cm="1">
        <f t="array" ref="AK553">_xlfn.IFS(H553="Life Sciences", "Ciências da Vida", H553="Other", "Outro", H553="Medical", "Médico", H553="Technical Degree", "Curso Técnico", H553="Marketing", "Marketing", H553="Human Resources", "Recursos Humanos")</f>
        <v>Recursos Humanos</v>
      </c>
      <c r="AL553" t="str" cm="1">
        <f t="array" ref="AL553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554" spans="1:38" x14ac:dyDescent="0.25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IF(tbRh[[#This Row],[Gender]]="Female","Feminino","Masculino")</f>
        <v>Masculino</v>
      </c>
      <c r="AK554" t="str" cm="1">
        <f t="array" ref="AK554">_xlfn.IFS(H554="Life Sciences", "Ciências da Vida", H554="Other", "Outro", H554="Medical", "Médico", H554="Technical Degree", "Curso Técnico", H554="Marketing", "Marketing", H554="Human Resources", "Recursos Humanos")</f>
        <v>Médico</v>
      </c>
      <c r="AL554" t="str" cm="1">
        <f t="array" ref="AL5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5" spans="1:38" x14ac:dyDescent="0.25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IF(tbRh[[#This Row],[Gender]]="Female","Feminino","Masculino")</f>
        <v>Feminino</v>
      </c>
      <c r="AK555" t="str" cm="1">
        <f t="array" ref="AK555">_xlfn.IFS(H555="Life Sciences", "Ciências da Vida", H555="Other", "Outro", H555="Medical", "Médico", H555="Technical Degree", "Curso Técnico", H555="Marketing", "Marketing", H555="Human Resources", "Recursos Humanos")</f>
        <v>Médico</v>
      </c>
      <c r="AL555" t="str" cm="1">
        <f t="array" ref="AL5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6" spans="1:38" x14ac:dyDescent="0.25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IF(tbRh[[#This Row],[Gender]]="Female","Feminino","Masculino")</f>
        <v>Feminino</v>
      </c>
      <c r="AK556" t="str" cm="1">
        <f t="array" ref="AK556">_xlfn.IFS(H556="Life Sciences", "Ciências da Vida", H556="Other", "Outro", H556="Medical", "Médico", H556="Technical Degree", "Curso Técnico", H556="Marketing", "Marketing", H556="Human Resources", "Recursos Humanos")</f>
        <v>Médico</v>
      </c>
      <c r="AL556" t="str" cm="1">
        <f t="array" ref="AL55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7" spans="1:38" x14ac:dyDescent="0.25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IF(tbRh[[#This Row],[Gender]]="Female","Feminino","Masculino")</f>
        <v>Masculino</v>
      </c>
      <c r="AK557" t="str" cm="1">
        <f t="array" ref="AK557">_xlfn.IFS(H557="Life Sciences", "Ciências da Vida", H557="Other", "Outro", H557="Medical", "Médico", H557="Technical Degree", "Curso Técnico", H557="Marketing", "Marketing", H557="Human Resources", "Recursos Humanos")</f>
        <v>Marketing</v>
      </c>
      <c r="AL557" t="str" cm="1">
        <f t="array" ref="AL55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58" spans="1:38" x14ac:dyDescent="0.25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IF(tbRh[[#This Row],[Gender]]="Female","Feminino","Masculino")</f>
        <v>Masculino</v>
      </c>
      <c r="AK558" t="str" cm="1">
        <f t="array" ref="AK558">_xlfn.IFS(H558="Life Sciences", "Ciências da Vida", H558="Other", "Outro", H558="Medical", "Médico", H558="Technical Degree", "Curso Técnico", H558="Marketing", "Marketing", H558="Human Resources", "Recursos Humanos")</f>
        <v>Ciências da Vida</v>
      </c>
      <c r="AL558" t="str" cm="1">
        <f t="array" ref="AL5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59" spans="1:38" x14ac:dyDescent="0.25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IF(tbRh[[#This Row],[Gender]]="Female","Feminino","Masculino")</f>
        <v>Feminino</v>
      </c>
      <c r="AK559" t="str" cm="1">
        <f t="array" ref="AK559">_xlfn.IFS(H559="Life Sciences", "Ciências da Vida", H559="Other", "Outro", H559="Medical", "Médico", H559="Technical Degree", "Curso Técnico", H559="Marketing", "Marketing", H559="Human Resources", "Recursos Humanos")</f>
        <v>Ciências da Vida</v>
      </c>
      <c r="AL559" t="str" cm="1">
        <f t="array" ref="AL5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0" spans="1:38" x14ac:dyDescent="0.25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IF(tbRh[[#This Row],[Gender]]="Female","Feminino","Masculino")</f>
        <v>Masculino</v>
      </c>
      <c r="AK560" t="str" cm="1">
        <f t="array" ref="AK560">_xlfn.IFS(H560="Life Sciences", "Ciências da Vida", H560="Other", "Outro", H560="Medical", "Médico", H560="Technical Degree", "Curso Técnico", H560="Marketing", "Marketing", H560="Human Resources", "Recursos Humanos")</f>
        <v>Ciências da Vida</v>
      </c>
      <c r="AL560" t="str" cm="1">
        <f t="array" ref="AL5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1" spans="1:38" x14ac:dyDescent="0.25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IF(tbRh[[#This Row],[Gender]]="Female","Feminino","Masculino")</f>
        <v>Masculino</v>
      </c>
      <c r="AK561" t="str" cm="1">
        <f t="array" ref="AK561">_xlfn.IFS(H561="Life Sciences", "Ciências da Vida", H561="Other", "Outro", H561="Medical", "Médico", H561="Technical Degree", "Curso Técnico", H561="Marketing", "Marketing", H561="Human Resources", "Recursos Humanos")</f>
        <v>Médico</v>
      </c>
      <c r="AL561" t="str" cm="1">
        <f t="array" ref="AL5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2" spans="1:38" x14ac:dyDescent="0.25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IF(tbRh[[#This Row],[Gender]]="Female","Feminino","Masculino")</f>
        <v>Feminino</v>
      </c>
      <c r="AK562" t="str" cm="1">
        <f t="array" ref="AK562">_xlfn.IFS(H562="Life Sciences", "Ciências da Vida", H562="Other", "Outro", H562="Medical", "Médico", H562="Technical Degree", "Curso Técnico", H562="Marketing", "Marketing", H562="Human Resources", "Recursos Humanos")</f>
        <v>Ciências da Vida</v>
      </c>
      <c r="AL562" t="str" cm="1">
        <f t="array" ref="AL5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3" spans="1:38" x14ac:dyDescent="0.25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IF(tbRh[[#This Row],[Gender]]="Female","Feminino","Masculino")</f>
        <v>Masculino</v>
      </c>
      <c r="AK563" t="str" cm="1">
        <f t="array" ref="AK563">_xlfn.IFS(H563="Life Sciences", "Ciências da Vida", H563="Other", "Outro", H563="Medical", "Médico", H563="Technical Degree", "Curso Técnico", H563="Marketing", "Marketing", H563="Human Resources", "Recursos Humanos")</f>
        <v>Marketing</v>
      </c>
      <c r="AL563" t="str" cm="1">
        <f t="array" ref="AL56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64" spans="1:38" x14ac:dyDescent="0.25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IF(tbRh[[#This Row],[Gender]]="Female","Feminino","Masculino")</f>
        <v>Masculino</v>
      </c>
      <c r="AK564" t="str" cm="1">
        <f t="array" ref="AK564">_xlfn.IFS(H564="Life Sciences", "Ciências da Vida", H564="Other", "Outro", H564="Medical", "Médico", H564="Technical Degree", "Curso Técnico", H564="Marketing", "Marketing", H564="Human Resources", "Recursos Humanos")</f>
        <v>Outro</v>
      </c>
      <c r="AL564" t="str" cm="1">
        <f t="array" ref="AL5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5" spans="1:38" x14ac:dyDescent="0.25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IF(tbRh[[#This Row],[Gender]]="Female","Feminino","Masculino")</f>
        <v>Feminino</v>
      </c>
      <c r="AK565" t="str" cm="1">
        <f t="array" ref="AK565">_xlfn.IFS(H565="Life Sciences", "Ciências da Vida", H565="Other", "Outro", H565="Medical", "Médico", H565="Technical Degree", "Curso Técnico", H565="Marketing", "Marketing", H565="Human Resources", "Recursos Humanos")</f>
        <v>Médico</v>
      </c>
      <c r="AL565" t="str" cm="1">
        <f t="array" ref="AL5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66" spans="1:38" x14ac:dyDescent="0.25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IF(tbRh[[#This Row],[Gender]]="Female","Feminino","Masculino")</f>
        <v>Masculino</v>
      </c>
      <c r="AK566" t="str" cm="1">
        <f t="array" ref="AK566">_xlfn.IFS(H566="Life Sciences", "Ciências da Vida", H566="Other", "Outro", H566="Medical", "Médico", H566="Technical Degree", "Curso Técnico", H566="Marketing", "Marketing", H566="Human Resources", "Recursos Humanos")</f>
        <v>Curso Técnico</v>
      </c>
      <c r="AL566" t="str" cm="1">
        <f t="array" ref="AL56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67" spans="1:38" x14ac:dyDescent="0.25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IF(tbRh[[#This Row],[Gender]]="Female","Feminino","Masculino")</f>
        <v>Masculino</v>
      </c>
      <c r="AK567" t="str" cm="1">
        <f t="array" ref="AK567">_xlfn.IFS(H567="Life Sciences", "Ciências da Vida", H567="Other", "Outro", H567="Medical", "Médico", H567="Technical Degree", "Curso Técnico", H567="Marketing", "Marketing", H567="Human Resources", "Recursos Humanos")</f>
        <v>Médico</v>
      </c>
      <c r="AL567" t="str" cm="1">
        <f t="array" ref="AL5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68" spans="1:38" x14ac:dyDescent="0.25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IF(tbRh[[#This Row],[Gender]]="Female","Feminino","Masculino")</f>
        <v>Feminino</v>
      </c>
      <c r="AK568" t="str" cm="1">
        <f t="array" ref="AK568">_xlfn.IFS(H568="Life Sciences", "Ciências da Vida", H568="Other", "Outro", H568="Medical", "Médico", H568="Technical Degree", "Curso Técnico", H568="Marketing", "Marketing", H568="Human Resources", "Recursos Humanos")</f>
        <v>Ciências da Vida</v>
      </c>
      <c r="AL568" t="str" cm="1">
        <f t="array" ref="AL56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69" spans="1:38" x14ac:dyDescent="0.25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IF(tbRh[[#This Row],[Gender]]="Female","Feminino","Masculino")</f>
        <v>Masculino</v>
      </c>
      <c r="AK569" t="str" cm="1">
        <f t="array" ref="AK569">_xlfn.IFS(H569="Life Sciences", "Ciências da Vida", H569="Other", "Outro", H569="Medical", "Médico", H569="Technical Degree", "Curso Técnico", H569="Marketing", "Marketing", H569="Human Resources", "Recursos Humanos")</f>
        <v>Outro</v>
      </c>
      <c r="AL569" t="str" cm="1">
        <f t="array" ref="AL56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70" spans="1:38" x14ac:dyDescent="0.25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IF(tbRh[[#This Row],[Gender]]="Female","Feminino","Masculino")</f>
        <v>Masculino</v>
      </c>
      <c r="AK570" t="str" cm="1">
        <f t="array" ref="AK570">_xlfn.IFS(H570="Life Sciences", "Ciências da Vida", H570="Other", "Outro", H570="Medical", "Médico", H570="Technical Degree", "Curso Técnico", H570="Marketing", "Marketing", H570="Human Resources", "Recursos Humanos")</f>
        <v>Médico</v>
      </c>
      <c r="AL570" t="str" cm="1">
        <f t="array" ref="AL5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71" spans="1:38" x14ac:dyDescent="0.25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IF(tbRh[[#This Row],[Gender]]="Female","Feminino","Masculino")</f>
        <v>Masculino</v>
      </c>
      <c r="AK571" t="str" cm="1">
        <f t="array" ref="AK571">_xlfn.IFS(H571="Life Sciences", "Ciências da Vida", H571="Other", "Outro", H571="Medical", "Médico", H571="Technical Degree", "Curso Técnico", H571="Marketing", "Marketing", H571="Human Resources", "Recursos Humanos")</f>
        <v>Ciências da Vida</v>
      </c>
      <c r="AL571" t="str" cm="1">
        <f t="array" ref="AL57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72" spans="1:38" x14ac:dyDescent="0.25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IF(tbRh[[#This Row],[Gender]]="Female","Feminino","Masculino")</f>
        <v>Masculino</v>
      </c>
      <c r="AK572" t="str" cm="1">
        <f t="array" ref="AK572">_xlfn.IFS(H572="Life Sciences", "Ciências da Vida", H572="Other", "Outro", H572="Medical", "Médico", H572="Technical Degree", "Curso Técnico", H572="Marketing", "Marketing", H572="Human Resources", "Recursos Humanos")</f>
        <v>Médico</v>
      </c>
      <c r="AL572" t="str" cm="1">
        <f t="array" ref="AL5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73" spans="1:38" x14ac:dyDescent="0.25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IF(tbRh[[#This Row],[Gender]]="Female","Feminino","Masculino")</f>
        <v>Feminino</v>
      </c>
      <c r="AK573" t="str" cm="1">
        <f t="array" ref="AK573">_xlfn.IFS(H573="Life Sciences", "Ciências da Vida", H573="Other", "Outro", H573="Medical", "Médico", H573="Technical Degree", "Curso Técnico", H573="Marketing", "Marketing", H573="Human Resources", "Recursos Humanos")</f>
        <v>Ciências da Vida</v>
      </c>
      <c r="AL573" t="str" cm="1">
        <f t="array" ref="AL5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74" spans="1:38" x14ac:dyDescent="0.25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IF(tbRh[[#This Row],[Gender]]="Female","Feminino","Masculino")</f>
        <v>Feminino</v>
      </c>
      <c r="AK574" t="str" cm="1">
        <f t="array" ref="AK574">_xlfn.IFS(H574="Life Sciences", "Ciências da Vida", H574="Other", "Outro", H574="Medical", "Médico", H574="Technical Degree", "Curso Técnico", H574="Marketing", "Marketing", H574="Human Resources", "Recursos Humanos")</f>
        <v>Médico</v>
      </c>
      <c r="AL574" t="str" cm="1">
        <f t="array" ref="AL5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75" spans="1:38" x14ac:dyDescent="0.25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IF(tbRh[[#This Row],[Gender]]="Female","Feminino","Masculino")</f>
        <v>Masculino</v>
      </c>
      <c r="AK575" t="str" cm="1">
        <f t="array" ref="AK575">_xlfn.IFS(H575="Life Sciences", "Ciências da Vida", H575="Other", "Outro", H575="Medical", "Médico", H575="Technical Degree", "Curso Técnico", H575="Marketing", "Marketing", H575="Human Resources", "Recursos Humanos")</f>
        <v>Curso Técnico</v>
      </c>
      <c r="AL575" t="str" cm="1">
        <f t="array" ref="AL57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76" spans="1:38" x14ac:dyDescent="0.25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IF(tbRh[[#This Row],[Gender]]="Female","Feminino","Masculino")</f>
        <v>Feminino</v>
      </c>
      <c r="AK576" t="str" cm="1">
        <f t="array" ref="AK576">_xlfn.IFS(H576="Life Sciences", "Ciências da Vida", H576="Other", "Outro", H576="Medical", "Médico", H576="Technical Degree", "Curso Técnico", H576="Marketing", "Marketing", H576="Human Resources", "Recursos Humanos")</f>
        <v>Ciências da Vida</v>
      </c>
      <c r="AL576" t="str" cm="1">
        <f t="array" ref="AL5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77" spans="1:38" x14ac:dyDescent="0.25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IF(tbRh[[#This Row],[Gender]]="Female","Feminino","Masculino")</f>
        <v>Feminino</v>
      </c>
      <c r="AK577" t="str" cm="1">
        <f t="array" ref="AK577">_xlfn.IFS(H577="Life Sciences", "Ciências da Vida", H577="Other", "Outro", H577="Medical", "Médico", H577="Technical Degree", "Curso Técnico", H577="Marketing", "Marketing", H577="Human Resources", "Recursos Humanos")</f>
        <v>Médico</v>
      </c>
      <c r="AL577" t="str" cm="1">
        <f t="array" ref="AL5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78" spans="1:38" x14ac:dyDescent="0.25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IF(tbRh[[#This Row],[Gender]]="Female","Feminino","Masculino")</f>
        <v>Masculino</v>
      </c>
      <c r="AK578" t="str" cm="1">
        <f t="array" ref="AK578">_xlfn.IFS(H578="Life Sciences", "Ciências da Vida", H578="Other", "Outro", H578="Medical", "Médico", H578="Technical Degree", "Curso Técnico", H578="Marketing", "Marketing", H578="Human Resources", "Recursos Humanos")</f>
        <v>Marketing</v>
      </c>
      <c r="AL578" t="str" cm="1">
        <f t="array" ref="AL57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79" spans="1:38" x14ac:dyDescent="0.25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IF(tbRh[[#This Row],[Gender]]="Female","Feminino","Masculino")</f>
        <v>Feminino</v>
      </c>
      <c r="AK579" t="str" cm="1">
        <f t="array" ref="AK579">_xlfn.IFS(H579="Life Sciences", "Ciências da Vida", H579="Other", "Outro", H579="Medical", "Médico", H579="Technical Degree", "Curso Técnico", H579="Marketing", "Marketing", H579="Human Resources", "Recursos Humanos")</f>
        <v>Ciências da Vida</v>
      </c>
      <c r="AL579" t="str" cm="1">
        <f t="array" ref="AL5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0" spans="1:38" x14ac:dyDescent="0.25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IF(tbRh[[#This Row],[Gender]]="Female","Feminino","Masculino")</f>
        <v>Feminino</v>
      </c>
      <c r="AK580" t="str" cm="1">
        <f t="array" ref="AK580">_xlfn.IFS(H580="Life Sciences", "Ciências da Vida", H580="Other", "Outro", H580="Medical", "Médico", H580="Technical Degree", "Curso Técnico", H580="Marketing", "Marketing", H580="Human Resources", "Recursos Humanos")</f>
        <v>Ciências da Vida</v>
      </c>
      <c r="AL580" t="str" cm="1">
        <f t="array" ref="AL5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1" spans="1:38" x14ac:dyDescent="0.25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IF(tbRh[[#This Row],[Gender]]="Female","Feminino","Masculino")</f>
        <v>Feminino</v>
      </c>
      <c r="AK581" t="str" cm="1">
        <f t="array" ref="AK581">_xlfn.IFS(H581="Life Sciences", "Ciências da Vida", H581="Other", "Outro", H581="Medical", "Médico", H581="Technical Degree", "Curso Técnico", H581="Marketing", "Marketing", H581="Human Resources", "Recursos Humanos")</f>
        <v>Médico</v>
      </c>
      <c r="AL581" t="str" cm="1">
        <f t="array" ref="AL5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2" spans="1:38" x14ac:dyDescent="0.25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IF(tbRh[[#This Row],[Gender]]="Female","Feminino","Masculino")</f>
        <v>Feminino</v>
      </c>
      <c r="AK582" t="str" cm="1">
        <f t="array" ref="AK582">_xlfn.IFS(H582="Life Sciences", "Ciências da Vida", H582="Other", "Outro", H582="Medical", "Médico", H582="Technical Degree", "Curso Técnico", H582="Marketing", "Marketing", H582="Human Resources", "Recursos Humanos")</f>
        <v>Ciências da Vida</v>
      </c>
      <c r="AL582" t="str" cm="1">
        <f t="array" ref="AL58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83" spans="1:38" x14ac:dyDescent="0.25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IF(tbRh[[#This Row],[Gender]]="Female","Feminino","Masculino")</f>
        <v>Masculino</v>
      </c>
      <c r="AK583" t="str" cm="1">
        <f t="array" ref="AK583">_xlfn.IFS(H583="Life Sciences", "Ciências da Vida", H583="Other", "Outro", H583="Medical", "Médico", H583="Technical Degree", "Curso Técnico", H583="Marketing", "Marketing", H583="Human Resources", "Recursos Humanos")</f>
        <v>Ciências da Vida</v>
      </c>
      <c r="AL583" t="str" cm="1">
        <f t="array" ref="AL5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4" spans="1:38" x14ac:dyDescent="0.25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IF(tbRh[[#This Row],[Gender]]="Female","Feminino","Masculino")</f>
        <v>Feminino</v>
      </c>
      <c r="AK584" t="str" cm="1">
        <f t="array" ref="AK584">_xlfn.IFS(H584="Life Sciences", "Ciências da Vida", H584="Other", "Outro", H584="Medical", "Médico", H584="Technical Degree", "Curso Técnico", H584="Marketing", "Marketing", H584="Human Resources", "Recursos Humanos")</f>
        <v>Médico</v>
      </c>
      <c r="AL584" t="str" cm="1">
        <f t="array" ref="AL5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5" spans="1:38" x14ac:dyDescent="0.25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IF(tbRh[[#This Row],[Gender]]="Female","Feminino","Masculino")</f>
        <v>Feminino</v>
      </c>
      <c r="AK585" t="str" cm="1">
        <f t="array" ref="AK585">_xlfn.IFS(H585="Life Sciences", "Ciências da Vida", H585="Other", "Outro", H585="Medical", "Médico", H585="Technical Degree", "Curso Técnico", H585="Marketing", "Marketing", H585="Human Resources", "Recursos Humanos")</f>
        <v>Ciências da Vida</v>
      </c>
      <c r="AL585" t="str" cm="1">
        <f t="array" ref="AL58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86" spans="1:38" x14ac:dyDescent="0.25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IF(tbRh[[#This Row],[Gender]]="Female","Feminino","Masculino")</f>
        <v>Masculino</v>
      </c>
      <c r="AK586" t="str" cm="1">
        <f t="array" ref="AK586">_xlfn.IFS(H586="Life Sciences", "Ciências da Vida", H586="Other", "Outro", H586="Medical", "Médico", H586="Technical Degree", "Curso Técnico", H586="Marketing", "Marketing", H586="Human Resources", "Recursos Humanos")</f>
        <v>Ciências da Vida</v>
      </c>
      <c r="AL586" t="str" cm="1">
        <f t="array" ref="AL5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7" spans="1:38" x14ac:dyDescent="0.25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IF(tbRh[[#This Row],[Gender]]="Female","Feminino","Masculino")</f>
        <v>Masculino</v>
      </c>
      <c r="AK587" t="str" cm="1">
        <f t="array" ref="AK587">_xlfn.IFS(H587="Life Sciences", "Ciências da Vida", H587="Other", "Outro", H587="Medical", "Médico", H587="Technical Degree", "Curso Técnico", H587="Marketing", "Marketing", H587="Human Resources", "Recursos Humanos")</f>
        <v>Ciências da Vida</v>
      </c>
      <c r="AL587" t="str" cm="1">
        <f t="array" ref="AL5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8" spans="1:38" x14ac:dyDescent="0.25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IF(tbRh[[#This Row],[Gender]]="Female","Feminino","Masculino")</f>
        <v>Masculino</v>
      </c>
      <c r="AK588" t="str" cm="1">
        <f t="array" ref="AK588">_xlfn.IFS(H588="Life Sciences", "Ciências da Vida", H588="Other", "Outro", H588="Medical", "Médico", H588="Technical Degree", "Curso Técnico", H588="Marketing", "Marketing", H588="Human Resources", "Recursos Humanos")</f>
        <v>Ciências da Vida</v>
      </c>
      <c r="AL588" t="str" cm="1">
        <f t="array" ref="AL5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89" spans="1:38" x14ac:dyDescent="0.25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IF(tbRh[[#This Row],[Gender]]="Female","Feminino","Masculino")</f>
        <v>Feminino</v>
      </c>
      <c r="AK589" t="str" cm="1">
        <f t="array" ref="AK589">_xlfn.IFS(H589="Life Sciences", "Ciências da Vida", H589="Other", "Outro", H589="Medical", "Médico", H589="Technical Degree", "Curso Técnico", H589="Marketing", "Marketing", H589="Human Resources", "Recursos Humanos")</f>
        <v>Ciências da Vida</v>
      </c>
      <c r="AL589" t="str" cm="1">
        <f t="array" ref="AL5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0" spans="1:38" x14ac:dyDescent="0.25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IF(tbRh[[#This Row],[Gender]]="Female","Feminino","Masculino")</f>
        <v>Masculino</v>
      </c>
      <c r="AK590" t="str" cm="1">
        <f t="array" ref="AK590">_xlfn.IFS(H590="Life Sciences", "Ciências da Vida", H590="Other", "Outro", H590="Medical", "Médico", H590="Technical Degree", "Curso Técnico", H590="Marketing", "Marketing", H590="Human Resources", "Recursos Humanos")</f>
        <v>Médico</v>
      </c>
      <c r="AL590" t="str" cm="1">
        <f t="array" ref="AL5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1" spans="1:38" x14ac:dyDescent="0.25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IF(tbRh[[#This Row],[Gender]]="Female","Feminino","Masculino")</f>
        <v>Feminino</v>
      </c>
      <c r="AK591" t="str" cm="1">
        <f t="array" ref="AK591">_xlfn.IFS(H591="Life Sciences", "Ciências da Vida", H591="Other", "Outro", H591="Medical", "Médico", H591="Technical Degree", "Curso Técnico", H591="Marketing", "Marketing", H591="Human Resources", "Recursos Humanos")</f>
        <v>Ciências da Vida</v>
      </c>
      <c r="AL591" t="str" cm="1">
        <f t="array" ref="AL5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2" spans="1:38" x14ac:dyDescent="0.25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IF(tbRh[[#This Row],[Gender]]="Female","Feminino","Masculino")</f>
        <v>Masculino</v>
      </c>
      <c r="AK592" t="str" cm="1">
        <f t="array" ref="AK592">_xlfn.IFS(H592="Life Sciences", "Ciências da Vida", H592="Other", "Outro", H592="Medical", "Médico", H592="Technical Degree", "Curso Técnico", H592="Marketing", "Marketing", H592="Human Resources", "Recursos Humanos")</f>
        <v>Médico</v>
      </c>
      <c r="AL592" t="str" cm="1">
        <f t="array" ref="AL5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3" spans="1:38" x14ac:dyDescent="0.25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IF(tbRh[[#This Row],[Gender]]="Female","Feminino","Masculino")</f>
        <v>Feminino</v>
      </c>
      <c r="AK593" t="str" cm="1">
        <f t="array" ref="AK593">_xlfn.IFS(H593="Life Sciences", "Ciências da Vida", H593="Other", "Outro", H593="Medical", "Médico", H593="Technical Degree", "Curso Técnico", H593="Marketing", "Marketing", H593="Human Resources", "Recursos Humanos")</f>
        <v>Marketing</v>
      </c>
      <c r="AL593" t="str" cm="1">
        <f t="array" ref="AL59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594" spans="1:38" x14ac:dyDescent="0.25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IF(tbRh[[#This Row],[Gender]]="Female","Feminino","Masculino")</f>
        <v>Feminino</v>
      </c>
      <c r="AK594" t="str" cm="1">
        <f t="array" ref="AK594">_xlfn.IFS(H594="Life Sciences", "Ciências da Vida", H594="Other", "Outro", H594="Medical", "Médico", H594="Technical Degree", "Curso Técnico", H594="Marketing", "Marketing", H594="Human Resources", "Recursos Humanos")</f>
        <v>Outro</v>
      </c>
      <c r="AL594" t="str" cm="1">
        <f t="array" ref="AL5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5" spans="1:38" x14ac:dyDescent="0.25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IF(tbRh[[#This Row],[Gender]]="Female","Feminino","Masculino")</f>
        <v>Feminino</v>
      </c>
      <c r="AK595" t="str" cm="1">
        <f t="array" ref="AK595">_xlfn.IFS(H595="Life Sciences", "Ciências da Vida", H595="Other", "Outro", H595="Medical", "Médico", H595="Technical Degree", "Curso Técnico", H595="Marketing", "Marketing", H595="Human Resources", "Recursos Humanos")</f>
        <v>Outro</v>
      </c>
      <c r="AL595" t="str" cm="1">
        <f t="array" ref="AL5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6" spans="1:38" x14ac:dyDescent="0.25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IF(tbRh[[#This Row],[Gender]]="Female","Feminino","Masculino")</f>
        <v>Masculino</v>
      </c>
      <c r="AK596" t="str" cm="1">
        <f t="array" ref="AK596">_xlfn.IFS(H596="Life Sciences", "Ciências da Vida", H596="Other", "Outro", H596="Medical", "Médico", H596="Technical Degree", "Curso Técnico", H596="Marketing", "Marketing", H596="Human Resources", "Recursos Humanos")</f>
        <v>Ciências da Vida</v>
      </c>
      <c r="AL596" t="str" cm="1">
        <f t="array" ref="AL5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7" spans="1:38" x14ac:dyDescent="0.25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IF(tbRh[[#This Row],[Gender]]="Female","Feminino","Masculino")</f>
        <v>Masculino</v>
      </c>
      <c r="AK597" t="str" cm="1">
        <f t="array" ref="AK597">_xlfn.IFS(H597="Life Sciences", "Ciências da Vida", H597="Other", "Outro", H597="Medical", "Médico", H597="Technical Degree", "Curso Técnico", H597="Marketing", "Marketing", H597="Human Resources", "Recursos Humanos")</f>
        <v>Ciências da Vida</v>
      </c>
      <c r="AL597" t="str" cm="1">
        <f t="array" ref="AL5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8" spans="1:38" x14ac:dyDescent="0.25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IF(tbRh[[#This Row],[Gender]]="Female","Feminino","Masculino")</f>
        <v>Feminino</v>
      </c>
      <c r="AK598" t="str" cm="1">
        <f t="array" ref="AK598">_xlfn.IFS(H598="Life Sciences", "Ciências da Vida", H598="Other", "Outro", H598="Medical", "Médico", H598="Technical Degree", "Curso Técnico", H598="Marketing", "Marketing", H598="Human Resources", "Recursos Humanos")</f>
        <v>Ciências da Vida</v>
      </c>
      <c r="AL598" t="str" cm="1">
        <f t="array" ref="AL5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599" spans="1:38" x14ac:dyDescent="0.25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IF(tbRh[[#This Row],[Gender]]="Female","Feminino","Masculino")</f>
        <v>Feminino</v>
      </c>
      <c r="AK599" t="str" cm="1">
        <f t="array" ref="AK599">_xlfn.IFS(H599="Life Sciences", "Ciências da Vida", H599="Other", "Outro", H599="Medical", "Médico", H599="Technical Degree", "Curso Técnico", H599="Marketing", "Marketing", H599="Human Resources", "Recursos Humanos")</f>
        <v>Ciências da Vida</v>
      </c>
      <c r="AL599" t="str" cm="1">
        <f t="array" ref="AL5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0" spans="1:38" x14ac:dyDescent="0.25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IF(tbRh[[#This Row],[Gender]]="Female","Feminino","Masculino")</f>
        <v>Masculino</v>
      </c>
      <c r="AK600" t="str" cm="1">
        <f t="array" ref="AK600">_xlfn.IFS(H600="Life Sciences", "Ciências da Vida", H600="Other", "Outro", H600="Medical", "Médico", H600="Technical Degree", "Curso Técnico", H600="Marketing", "Marketing", H600="Human Resources", "Recursos Humanos")</f>
        <v>Médico</v>
      </c>
      <c r="AL600" t="str" cm="1">
        <f t="array" ref="AL6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1" spans="1:38" x14ac:dyDescent="0.25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IF(tbRh[[#This Row],[Gender]]="Female","Feminino","Masculino")</f>
        <v>Masculino</v>
      </c>
      <c r="AK601" t="str" cm="1">
        <f t="array" ref="AK601">_xlfn.IFS(H601="Life Sciences", "Ciências da Vida", H601="Other", "Outro", H601="Medical", "Médico", H601="Technical Degree", "Curso Técnico", H601="Marketing", "Marketing", H601="Human Resources", "Recursos Humanos")</f>
        <v>Recursos Humanos</v>
      </c>
      <c r="AL601" t="str" cm="1">
        <f t="array" ref="AL60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602" spans="1:38" x14ac:dyDescent="0.25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IF(tbRh[[#This Row],[Gender]]="Female","Feminino","Masculino")</f>
        <v>Feminino</v>
      </c>
      <c r="AK602" t="str" cm="1">
        <f t="array" ref="AK602">_xlfn.IFS(H602="Life Sciences", "Ciências da Vida", H602="Other", "Outro", H602="Medical", "Médico", H602="Technical Degree", "Curso Técnico", H602="Marketing", "Marketing", H602="Human Resources", "Recursos Humanos")</f>
        <v>Ciências da Vida</v>
      </c>
      <c r="AL602" t="str" cm="1">
        <f t="array" ref="AL6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3" spans="1:38" x14ac:dyDescent="0.25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IF(tbRh[[#This Row],[Gender]]="Female","Feminino","Masculino")</f>
        <v>Masculino</v>
      </c>
      <c r="AK603" t="str" cm="1">
        <f t="array" ref="AK603">_xlfn.IFS(H603="Life Sciences", "Ciências da Vida", H603="Other", "Outro", H603="Medical", "Médico", H603="Technical Degree", "Curso Técnico", H603="Marketing", "Marketing", H603="Human Resources", "Recursos Humanos")</f>
        <v>Médico</v>
      </c>
      <c r="AL603" t="str" cm="1">
        <f t="array" ref="AL6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4" spans="1:38" x14ac:dyDescent="0.25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IF(tbRh[[#This Row],[Gender]]="Female","Feminino","Masculino")</f>
        <v>Feminino</v>
      </c>
      <c r="AK604" t="str" cm="1">
        <f t="array" ref="AK604">_xlfn.IFS(H604="Life Sciences", "Ciências da Vida", H604="Other", "Outro", H604="Medical", "Médico", H604="Technical Degree", "Curso Técnico", H604="Marketing", "Marketing", H604="Human Resources", "Recursos Humanos")</f>
        <v>Médico</v>
      </c>
      <c r="AL604" t="str" cm="1">
        <f t="array" ref="AL6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5" spans="1:38" x14ac:dyDescent="0.25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IF(tbRh[[#This Row],[Gender]]="Female","Feminino","Masculino")</f>
        <v>Feminino</v>
      </c>
      <c r="AK605" t="str" cm="1">
        <f t="array" ref="AK605">_xlfn.IFS(H605="Life Sciences", "Ciências da Vida", H605="Other", "Outro", H605="Medical", "Médico", H605="Technical Degree", "Curso Técnico", H605="Marketing", "Marketing", H605="Human Resources", "Recursos Humanos")</f>
        <v>Ciências da Vida</v>
      </c>
      <c r="AL605" t="str" cm="1">
        <f t="array" ref="AL6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6" spans="1:38" x14ac:dyDescent="0.25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IF(tbRh[[#This Row],[Gender]]="Female","Feminino","Masculino")</f>
        <v>Masculino</v>
      </c>
      <c r="AK606" t="str" cm="1">
        <f t="array" ref="AK606">_xlfn.IFS(H606="Life Sciences", "Ciências da Vida", H606="Other", "Outro", H606="Medical", "Médico", H606="Technical Degree", "Curso Técnico", H606="Marketing", "Marketing", H606="Human Resources", "Recursos Humanos")</f>
        <v>Ciências da Vida</v>
      </c>
      <c r="AL606" t="str" cm="1">
        <f t="array" ref="AL6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7" spans="1:38" x14ac:dyDescent="0.25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IF(tbRh[[#This Row],[Gender]]="Female","Feminino","Masculino")</f>
        <v>Masculino</v>
      </c>
      <c r="AK607" t="str" cm="1">
        <f t="array" ref="AK607">_xlfn.IFS(H607="Life Sciences", "Ciências da Vida", H607="Other", "Outro", H607="Medical", "Médico", H607="Technical Degree", "Curso Técnico", H607="Marketing", "Marketing", H607="Human Resources", "Recursos Humanos")</f>
        <v>Ciências da Vida</v>
      </c>
      <c r="AL607" t="str" cm="1">
        <f t="array" ref="AL6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8" spans="1:38" x14ac:dyDescent="0.25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IF(tbRh[[#This Row],[Gender]]="Female","Feminino","Masculino")</f>
        <v>Feminino</v>
      </c>
      <c r="AK608" t="str" cm="1">
        <f t="array" ref="AK608">_xlfn.IFS(H608="Life Sciences", "Ciências da Vida", H608="Other", "Outro", H608="Medical", "Médico", H608="Technical Degree", "Curso Técnico", H608="Marketing", "Marketing", H608="Human Resources", "Recursos Humanos")</f>
        <v>Ciências da Vida</v>
      </c>
      <c r="AL608" t="str" cm="1">
        <f t="array" ref="AL6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09" spans="1:38" x14ac:dyDescent="0.25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IF(tbRh[[#This Row],[Gender]]="Female","Feminino","Masculino")</f>
        <v>Feminino</v>
      </c>
      <c r="AK609" t="str" cm="1">
        <f t="array" ref="AK609">_xlfn.IFS(H609="Life Sciences", "Ciências da Vida", H609="Other", "Outro", H609="Medical", "Médico", H609="Technical Degree", "Curso Técnico", H609="Marketing", "Marketing", H609="Human Resources", "Recursos Humanos")</f>
        <v>Marketing</v>
      </c>
      <c r="AL609" t="str" cm="1">
        <f t="array" ref="AL60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10" spans="1:38" x14ac:dyDescent="0.25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IF(tbRh[[#This Row],[Gender]]="Female","Feminino","Masculino")</f>
        <v>Masculino</v>
      </c>
      <c r="AK610" t="str" cm="1">
        <f t="array" ref="AK610">_xlfn.IFS(H610="Life Sciences", "Ciências da Vida", H610="Other", "Outro", H610="Medical", "Médico", H610="Technical Degree", "Curso Técnico", H610="Marketing", "Marketing", H610="Human Resources", "Recursos Humanos")</f>
        <v>Médico</v>
      </c>
      <c r="AL610" t="str" cm="1">
        <f t="array" ref="AL61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11" spans="1:38" x14ac:dyDescent="0.25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IF(tbRh[[#This Row],[Gender]]="Female","Feminino","Masculino")</f>
        <v>Masculino</v>
      </c>
      <c r="AK611" t="str" cm="1">
        <f t="array" ref="AK611">_xlfn.IFS(H611="Life Sciences", "Ciências da Vida", H611="Other", "Outro", H611="Medical", "Médico", H611="Technical Degree", "Curso Técnico", H611="Marketing", "Marketing", H611="Human Resources", "Recursos Humanos")</f>
        <v>Ciências da Vida</v>
      </c>
      <c r="AL611" t="str" cm="1">
        <f t="array" ref="AL6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12" spans="1:38" x14ac:dyDescent="0.25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IF(tbRh[[#This Row],[Gender]]="Female","Feminino","Masculino")</f>
        <v>Masculino</v>
      </c>
      <c r="AK612" t="str" cm="1">
        <f t="array" ref="AK612">_xlfn.IFS(H612="Life Sciences", "Ciências da Vida", H612="Other", "Outro", H612="Medical", "Médico", H612="Technical Degree", "Curso Técnico", H612="Marketing", "Marketing", H612="Human Resources", "Recursos Humanos")</f>
        <v>Curso Técnico</v>
      </c>
      <c r="AL612" t="str" cm="1">
        <f t="array" ref="AL6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13" spans="1:38" x14ac:dyDescent="0.25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IF(tbRh[[#This Row],[Gender]]="Female","Feminino","Masculino")</f>
        <v>Masculino</v>
      </c>
      <c r="AK613" t="str" cm="1">
        <f t="array" ref="AK613">_xlfn.IFS(H613="Life Sciences", "Ciências da Vida", H613="Other", "Outro", H613="Medical", "Médico", H613="Technical Degree", "Curso Técnico", H613="Marketing", "Marketing", H613="Human Resources", "Recursos Humanos")</f>
        <v>Outro</v>
      </c>
      <c r="AL613" t="str" cm="1">
        <f t="array" ref="AL6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14" spans="1:38" x14ac:dyDescent="0.25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IF(tbRh[[#This Row],[Gender]]="Female","Feminino","Masculino")</f>
        <v>Feminino</v>
      </c>
      <c r="AK614" t="str" cm="1">
        <f t="array" ref="AK614">_xlfn.IFS(H614="Life Sciences", "Ciências da Vida", H614="Other", "Outro", H614="Medical", "Médico", H614="Technical Degree", "Curso Técnico", H614="Marketing", "Marketing", H614="Human Resources", "Recursos Humanos")</f>
        <v>Marketing</v>
      </c>
      <c r="AL614" t="str" cm="1">
        <f t="array" ref="AL61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15" spans="1:38" x14ac:dyDescent="0.25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IF(tbRh[[#This Row],[Gender]]="Female","Feminino","Masculino")</f>
        <v>Masculino</v>
      </c>
      <c r="AK615" t="str" cm="1">
        <f t="array" ref="AK615">_xlfn.IFS(H615="Life Sciences", "Ciências da Vida", H615="Other", "Outro", H615="Medical", "Médico", H615="Technical Degree", "Curso Técnico", H615="Marketing", "Marketing", H615="Human Resources", "Recursos Humanos")</f>
        <v>Recursos Humanos</v>
      </c>
      <c r="AL615" t="str" cm="1">
        <f t="array" ref="AL61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616" spans="1:38" x14ac:dyDescent="0.25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IF(tbRh[[#This Row],[Gender]]="Female","Feminino","Masculino")</f>
        <v>Feminino</v>
      </c>
      <c r="AK616" t="str" cm="1">
        <f t="array" ref="AK616">_xlfn.IFS(H616="Life Sciences", "Ciências da Vida", H616="Other", "Outro", H616="Medical", "Médico", H616="Technical Degree", "Curso Técnico", H616="Marketing", "Marketing", H616="Human Resources", "Recursos Humanos")</f>
        <v>Médico</v>
      </c>
      <c r="AL616" t="str" cm="1">
        <f t="array" ref="AL6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17" spans="1:38" x14ac:dyDescent="0.25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IF(tbRh[[#This Row],[Gender]]="Female","Feminino","Masculino")</f>
        <v>Masculino</v>
      </c>
      <c r="AK617" t="str" cm="1">
        <f t="array" ref="AK617">_xlfn.IFS(H617="Life Sciences", "Ciências da Vida", H617="Other", "Outro", H617="Medical", "Médico", H617="Technical Degree", "Curso Técnico", H617="Marketing", "Marketing", H617="Human Resources", "Recursos Humanos")</f>
        <v>Médico</v>
      </c>
      <c r="AL617" t="str" cm="1">
        <f t="array" ref="AL6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18" spans="1:38" x14ac:dyDescent="0.25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IF(tbRh[[#This Row],[Gender]]="Female","Feminino","Masculino")</f>
        <v>Feminino</v>
      </c>
      <c r="AK618" t="str" cm="1">
        <f t="array" ref="AK618">_xlfn.IFS(H618="Life Sciences", "Ciências da Vida", H618="Other", "Outro", H618="Medical", "Médico", H618="Technical Degree", "Curso Técnico", H618="Marketing", "Marketing", H618="Human Resources", "Recursos Humanos")</f>
        <v>Marketing</v>
      </c>
      <c r="AL618" t="str" cm="1">
        <f t="array" ref="AL6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19" spans="1:38" x14ac:dyDescent="0.25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IF(tbRh[[#This Row],[Gender]]="Female","Feminino","Masculino")</f>
        <v>Masculino</v>
      </c>
      <c r="AK619" t="str" cm="1">
        <f t="array" ref="AK619">_xlfn.IFS(H619="Life Sciences", "Ciências da Vida", H619="Other", "Outro", H619="Medical", "Médico", H619="Technical Degree", "Curso Técnico", H619="Marketing", "Marketing", H619="Human Resources", "Recursos Humanos")</f>
        <v>Médico</v>
      </c>
      <c r="AL619" t="str" cm="1">
        <f t="array" ref="AL6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20" spans="1:38" x14ac:dyDescent="0.25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IF(tbRh[[#This Row],[Gender]]="Female","Feminino","Masculino")</f>
        <v>Masculino</v>
      </c>
      <c r="AK620" t="str" cm="1">
        <f t="array" ref="AK620">_xlfn.IFS(H620="Life Sciences", "Ciências da Vida", H620="Other", "Outro", H620="Medical", "Médico", H620="Technical Degree", "Curso Técnico", H620="Marketing", "Marketing", H620="Human Resources", "Recursos Humanos")</f>
        <v>Médico</v>
      </c>
      <c r="AL620" t="str" cm="1">
        <f t="array" ref="AL6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21" spans="1:38" x14ac:dyDescent="0.25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IF(tbRh[[#This Row],[Gender]]="Female","Feminino","Masculino")</f>
        <v>Masculino</v>
      </c>
      <c r="AK621" t="str" cm="1">
        <f t="array" ref="AK621">_xlfn.IFS(H621="Life Sciences", "Ciências da Vida", H621="Other", "Outro", H621="Medical", "Médico", H621="Technical Degree", "Curso Técnico", H621="Marketing", "Marketing", H621="Human Resources", "Recursos Humanos")</f>
        <v>Médico</v>
      </c>
      <c r="AL621" t="str" cm="1">
        <f t="array" ref="AL6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22" spans="1:38" x14ac:dyDescent="0.25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IF(tbRh[[#This Row],[Gender]]="Female","Feminino","Masculino")</f>
        <v>Feminino</v>
      </c>
      <c r="AK622" t="str" cm="1">
        <f t="array" ref="AK622">_xlfn.IFS(H622="Life Sciences", "Ciências da Vida", H622="Other", "Outro", H622="Medical", "Médico", H622="Technical Degree", "Curso Técnico", H622="Marketing", "Marketing", H622="Human Resources", "Recursos Humanos")</f>
        <v>Médico</v>
      </c>
      <c r="AL622" t="str" cm="1">
        <f t="array" ref="AL6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23" spans="1:38" x14ac:dyDescent="0.25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IF(tbRh[[#This Row],[Gender]]="Female","Feminino","Masculino")</f>
        <v>Masculino</v>
      </c>
      <c r="AK623" t="str" cm="1">
        <f t="array" ref="AK623">_xlfn.IFS(H623="Life Sciences", "Ciências da Vida", H623="Other", "Outro", H623="Medical", "Médico", H623="Technical Degree", "Curso Técnico", H623="Marketing", "Marketing", H623="Human Resources", "Recursos Humanos")</f>
        <v>Ciências da Vida</v>
      </c>
      <c r="AL623" t="str" cm="1">
        <f t="array" ref="AL6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24" spans="1:38" x14ac:dyDescent="0.25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IF(tbRh[[#This Row],[Gender]]="Female","Feminino","Masculino")</f>
        <v>Masculino</v>
      </c>
      <c r="AK624" t="str" cm="1">
        <f t="array" ref="AK624">_xlfn.IFS(H624="Life Sciences", "Ciências da Vida", H624="Other", "Outro", H624="Medical", "Médico", H624="Technical Degree", "Curso Técnico", H624="Marketing", "Marketing", H624="Human Resources", "Recursos Humanos")</f>
        <v>Ciências da Vida</v>
      </c>
      <c r="AL624" t="str" cm="1">
        <f t="array" ref="AL62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25" spans="1:38" x14ac:dyDescent="0.25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IF(tbRh[[#This Row],[Gender]]="Female","Feminino","Masculino")</f>
        <v>Masculino</v>
      </c>
      <c r="AK625" t="str" cm="1">
        <f t="array" ref="AK625">_xlfn.IFS(H625="Life Sciences", "Ciências da Vida", H625="Other", "Outro", H625="Medical", "Médico", H625="Technical Degree", "Curso Técnico", H625="Marketing", "Marketing", H625="Human Resources", "Recursos Humanos")</f>
        <v>Ciências da Vida</v>
      </c>
      <c r="AL625" t="str" cm="1">
        <f t="array" ref="AL6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26" spans="1:38" x14ac:dyDescent="0.25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IF(tbRh[[#This Row],[Gender]]="Female","Feminino","Masculino")</f>
        <v>Feminino</v>
      </c>
      <c r="AK626" t="str" cm="1">
        <f t="array" ref="AK626">_xlfn.IFS(H626="Life Sciences", "Ciências da Vida", H626="Other", "Outro", H626="Medical", "Médico", H626="Technical Degree", "Curso Técnico", H626="Marketing", "Marketing", H626="Human Resources", "Recursos Humanos")</f>
        <v>Marketing</v>
      </c>
      <c r="AL626" t="str" cm="1">
        <f t="array" ref="AL62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27" spans="1:38" x14ac:dyDescent="0.25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IF(tbRh[[#This Row],[Gender]]="Female","Feminino","Masculino")</f>
        <v>Masculino</v>
      </c>
      <c r="AK627" t="str" cm="1">
        <f t="array" ref="AK627">_xlfn.IFS(H627="Life Sciences", "Ciências da Vida", H627="Other", "Outro", H627="Medical", "Médico", H627="Technical Degree", "Curso Técnico", H627="Marketing", "Marketing", H627="Human Resources", "Recursos Humanos")</f>
        <v>Marketing</v>
      </c>
      <c r="AL627" t="str" cm="1">
        <f t="array" ref="AL62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28" spans="1:38" x14ac:dyDescent="0.25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IF(tbRh[[#This Row],[Gender]]="Female","Feminino","Masculino")</f>
        <v>Feminino</v>
      </c>
      <c r="AK628" t="str" cm="1">
        <f t="array" ref="AK628">_xlfn.IFS(H628="Life Sciences", "Ciências da Vida", H628="Other", "Outro", H628="Medical", "Médico", H628="Technical Degree", "Curso Técnico", H628="Marketing", "Marketing", H628="Human Resources", "Recursos Humanos")</f>
        <v>Médico</v>
      </c>
      <c r="AL628" t="str" cm="1">
        <f t="array" ref="AL6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29" spans="1:38" x14ac:dyDescent="0.25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IF(tbRh[[#This Row],[Gender]]="Female","Feminino","Masculino")</f>
        <v>Feminino</v>
      </c>
      <c r="AK629" t="str" cm="1">
        <f t="array" ref="AK629">_xlfn.IFS(H629="Life Sciences", "Ciências da Vida", H629="Other", "Outro", H629="Medical", "Médico", H629="Technical Degree", "Curso Técnico", H629="Marketing", "Marketing", H629="Human Resources", "Recursos Humanos")</f>
        <v>Médico</v>
      </c>
      <c r="AL629" t="str" cm="1">
        <f t="array" ref="AL6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0" spans="1:38" x14ac:dyDescent="0.25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IF(tbRh[[#This Row],[Gender]]="Female","Feminino","Masculino")</f>
        <v>Masculino</v>
      </c>
      <c r="AK630" t="str" cm="1">
        <f t="array" ref="AK630">_xlfn.IFS(H630="Life Sciences", "Ciências da Vida", H630="Other", "Outro", H630="Medical", "Médico", H630="Technical Degree", "Curso Técnico", H630="Marketing", "Marketing", H630="Human Resources", "Recursos Humanos")</f>
        <v>Marketing</v>
      </c>
      <c r="AL630" t="str" cm="1">
        <f t="array" ref="AL63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31" spans="1:38" x14ac:dyDescent="0.25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IF(tbRh[[#This Row],[Gender]]="Female","Feminino","Masculino")</f>
        <v>Masculino</v>
      </c>
      <c r="AK631" t="str" cm="1">
        <f t="array" ref="AK631">_xlfn.IFS(H631="Life Sciences", "Ciências da Vida", H631="Other", "Outro", H631="Medical", "Médico", H631="Technical Degree", "Curso Técnico", H631="Marketing", "Marketing", H631="Human Resources", "Recursos Humanos")</f>
        <v>Médico</v>
      </c>
      <c r="AL631" t="str" cm="1">
        <f t="array" ref="AL63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632" spans="1:38" x14ac:dyDescent="0.25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IF(tbRh[[#This Row],[Gender]]="Female","Feminino","Masculino")</f>
        <v>Masculino</v>
      </c>
      <c r="AK632" t="str" cm="1">
        <f t="array" ref="AK632">_xlfn.IFS(H632="Life Sciences", "Ciências da Vida", H632="Other", "Outro", H632="Medical", "Médico", H632="Technical Degree", "Curso Técnico", H632="Marketing", "Marketing", H632="Human Resources", "Recursos Humanos")</f>
        <v>Ciências da Vida</v>
      </c>
      <c r="AL632" t="str" cm="1">
        <f t="array" ref="AL6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3" spans="1:38" x14ac:dyDescent="0.25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IF(tbRh[[#This Row],[Gender]]="Female","Feminino","Masculino")</f>
        <v>Masculino</v>
      </c>
      <c r="AK633" t="str" cm="1">
        <f t="array" ref="AK633">_xlfn.IFS(H633="Life Sciences", "Ciências da Vida", H633="Other", "Outro", H633="Medical", "Médico", H633="Technical Degree", "Curso Técnico", H633="Marketing", "Marketing", H633="Human Resources", "Recursos Humanos")</f>
        <v>Ciências da Vida</v>
      </c>
      <c r="AL633" t="str" cm="1">
        <f t="array" ref="AL6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4" spans="1:38" x14ac:dyDescent="0.25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IF(tbRh[[#This Row],[Gender]]="Female","Feminino","Masculino")</f>
        <v>Masculino</v>
      </c>
      <c r="AK634" t="str" cm="1">
        <f t="array" ref="AK634">_xlfn.IFS(H634="Life Sciences", "Ciências da Vida", H634="Other", "Outro", H634="Medical", "Médico", H634="Technical Degree", "Curso Técnico", H634="Marketing", "Marketing", H634="Human Resources", "Recursos Humanos")</f>
        <v>Médico</v>
      </c>
      <c r="AL634" t="str" cm="1">
        <f t="array" ref="AL6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5" spans="1:38" x14ac:dyDescent="0.25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IF(tbRh[[#This Row],[Gender]]="Female","Feminino","Masculino")</f>
        <v>Masculino</v>
      </c>
      <c r="AK635" t="str" cm="1">
        <f t="array" ref="AK635">_xlfn.IFS(H635="Life Sciences", "Ciências da Vida", H635="Other", "Outro", H635="Medical", "Médico", H635="Technical Degree", "Curso Técnico", H635="Marketing", "Marketing", H635="Human Resources", "Recursos Humanos")</f>
        <v>Ciências da Vida</v>
      </c>
      <c r="AL635" t="str" cm="1">
        <f t="array" ref="AL63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636" spans="1:38" x14ac:dyDescent="0.25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IF(tbRh[[#This Row],[Gender]]="Female","Feminino","Masculino")</f>
        <v>Masculino</v>
      </c>
      <c r="AK636" t="str" cm="1">
        <f t="array" ref="AK636">_xlfn.IFS(H636="Life Sciences", "Ciências da Vida", H636="Other", "Outro", H636="Medical", "Médico", H636="Technical Degree", "Curso Técnico", H636="Marketing", "Marketing", H636="Human Resources", "Recursos Humanos")</f>
        <v>Outro</v>
      </c>
      <c r="AL636" t="str" cm="1">
        <f t="array" ref="AL63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37" spans="1:38" x14ac:dyDescent="0.25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IF(tbRh[[#This Row],[Gender]]="Female","Feminino","Masculino")</f>
        <v>Feminino</v>
      </c>
      <c r="AK637" t="str" cm="1">
        <f t="array" ref="AK637">_xlfn.IFS(H637="Life Sciences", "Ciências da Vida", H637="Other", "Outro", H637="Medical", "Médico", H637="Technical Degree", "Curso Técnico", H637="Marketing", "Marketing", H637="Human Resources", "Recursos Humanos")</f>
        <v>Ciências da Vida</v>
      </c>
      <c r="AL637" t="str" cm="1">
        <f t="array" ref="AL6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8" spans="1:38" x14ac:dyDescent="0.25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IF(tbRh[[#This Row],[Gender]]="Female","Feminino","Masculino")</f>
        <v>Feminino</v>
      </c>
      <c r="AK638" t="str" cm="1">
        <f t="array" ref="AK638">_xlfn.IFS(H638="Life Sciences", "Ciências da Vida", H638="Other", "Outro", H638="Medical", "Médico", H638="Technical Degree", "Curso Técnico", H638="Marketing", "Marketing", H638="Human Resources", "Recursos Humanos")</f>
        <v>Ciências da Vida</v>
      </c>
      <c r="AL638" t="str" cm="1">
        <f t="array" ref="AL6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39" spans="1:38" x14ac:dyDescent="0.25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IF(tbRh[[#This Row],[Gender]]="Female","Feminino","Masculino")</f>
        <v>Masculino</v>
      </c>
      <c r="AK639" t="str" cm="1">
        <f t="array" ref="AK639">_xlfn.IFS(H639="Life Sciences", "Ciências da Vida", H639="Other", "Outro", H639="Medical", "Médico", H639="Technical Degree", "Curso Técnico", H639="Marketing", "Marketing", H639="Human Resources", "Recursos Humanos")</f>
        <v>Ciências da Vida</v>
      </c>
      <c r="AL639" t="str" cm="1">
        <f t="array" ref="AL6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40" spans="1:38" x14ac:dyDescent="0.25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IF(tbRh[[#This Row],[Gender]]="Female","Feminino","Masculino")</f>
        <v>Masculino</v>
      </c>
      <c r="AK640" t="str" cm="1">
        <f t="array" ref="AK640">_xlfn.IFS(H640="Life Sciences", "Ciências da Vida", H640="Other", "Outro", H640="Medical", "Médico", H640="Technical Degree", "Curso Técnico", H640="Marketing", "Marketing", H640="Human Resources", "Recursos Humanos")</f>
        <v>Marketing</v>
      </c>
      <c r="AL640" t="str" cm="1">
        <f t="array" ref="AL6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41" spans="1:38" x14ac:dyDescent="0.25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IF(tbRh[[#This Row],[Gender]]="Female","Feminino","Masculino")</f>
        <v>Feminino</v>
      </c>
      <c r="AK641" t="str" cm="1">
        <f t="array" ref="AK641">_xlfn.IFS(H641="Life Sciences", "Ciências da Vida", H641="Other", "Outro", H641="Medical", "Médico", H641="Technical Degree", "Curso Técnico", H641="Marketing", "Marketing", H641="Human Resources", "Recursos Humanos")</f>
        <v>Curso Técnico</v>
      </c>
      <c r="AL641" t="str" cm="1">
        <f t="array" ref="AL6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42" spans="1:38" x14ac:dyDescent="0.25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IF(tbRh[[#This Row],[Gender]]="Female","Feminino","Masculino")</f>
        <v>Masculino</v>
      </c>
      <c r="AK642" t="str" cm="1">
        <f t="array" ref="AK642">_xlfn.IFS(H642="Life Sciences", "Ciências da Vida", H642="Other", "Outro", H642="Medical", "Médico", H642="Technical Degree", "Curso Técnico", H642="Marketing", "Marketing", H642="Human Resources", "Recursos Humanos")</f>
        <v>Ciências da Vida</v>
      </c>
      <c r="AL642" t="str" cm="1">
        <f t="array" ref="AL6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43" spans="1:38" x14ac:dyDescent="0.25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IF(tbRh[[#This Row],[Gender]]="Female","Feminino","Masculino")</f>
        <v>Masculino</v>
      </c>
      <c r="AK643" t="str" cm="1">
        <f t="array" ref="AK643">_xlfn.IFS(H643="Life Sciences", "Ciências da Vida", H643="Other", "Outro", H643="Medical", "Médico", H643="Technical Degree", "Curso Técnico", H643="Marketing", "Marketing", H643="Human Resources", "Recursos Humanos")</f>
        <v>Ciências da Vida</v>
      </c>
      <c r="AL643" t="str" cm="1">
        <f t="array" ref="AL64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44" spans="1:38" x14ac:dyDescent="0.25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IF(tbRh[[#This Row],[Gender]]="Female","Feminino","Masculino")</f>
        <v>Masculino</v>
      </c>
      <c r="AK644" t="str" cm="1">
        <f t="array" ref="AK644">_xlfn.IFS(H644="Life Sciences", "Ciências da Vida", H644="Other", "Outro", H644="Medical", "Médico", H644="Technical Degree", "Curso Técnico", H644="Marketing", "Marketing", H644="Human Resources", "Recursos Humanos")</f>
        <v>Marketing</v>
      </c>
      <c r="AL644" t="str" cm="1">
        <f t="array" ref="AL64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45" spans="1:38" x14ac:dyDescent="0.25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IF(tbRh[[#This Row],[Gender]]="Female","Feminino","Masculino")</f>
        <v>Feminino</v>
      </c>
      <c r="AK645" t="str" cm="1">
        <f t="array" ref="AK645">_xlfn.IFS(H645="Life Sciences", "Ciências da Vida", H645="Other", "Outro", H645="Medical", "Médico", H645="Technical Degree", "Curso Técnico", H645="Marketing", "Marketing", H645="Human Resources", "Recursos Humanos")</f>
        <v>Ciências da Vida</v>
      </c>
      <c r="AL645" t="str" cm="1">
        <f t="array" ref="AL6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46" spans="1:38" x14ac:dyDescent="0.25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IF(tbRh[[#This Row],[Gender]]="Female","Feminino","Masculino")</f>
        <v>Masculino</v>
      </c>
      <c r="AK646" t="str" cm="1">
        <f t="array" ref="AK646">_xlfn.IFS(H646="Life Sciences", "Ciências da Vida", H646="Other", "Outro", H646="Medical", "Médico", H646="Technical Degree", "Curso Técnico", H646="Marketing", "Marketing", H646="Human Resources", "Recursos Humanos")</f>
        <v>Ciências da Vida</v>
      </c>
      <c r="AL646" t="str" cm="1">
        <f t="array" ref="AL6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47" spans="1:38" x14ac:dyDescent="0.25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IF(tbRh[[#This Row],[Gender]]="Female","Feminino","Masculino")</f>
        <v>Feminino</v>
      </c>
      <c r="AK647" t="str" cm="1">
        <f t="array" ref="AK647">_xlfn.IFS(H647="Life Sciences", "Ciências da Vida", H647="Other", "Outro", H647="Medical", "Médico", H647="Technical Degree", "Curso Técnico", H647="Marketing", "Marketing", H647="Human Resources", "Recursos Humanos")</f>
        <v>Médico</v>
      </c>
      <c r="AL647" t="str" cm="1">
        <f t="array" ref="AL64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48" spans="1:38" x14ac:dyDescent="0.25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IF(tbRh[[#This Row],[Gender]]="Female","Feminino","Masculino")</f>
        <v>Masculino</v>
      </c>
      <c r="AK648" t="str" cm="1">
        <f t="array" ref="AK648">_xlfn.IFS(H648="Life Sciences", "Ciências da Vida", H648="Other", "Outro", H648="Medical", "Médico", H648="Technical Degree", "Curso Técnico", H648="Marketing", "Marketing", H648="Human Resources", "Recursos Humanos")</f>
        <v>Marketing</v>
      </c>
      <c r="AL648" t="str" cm="1">
        <f t="array" ref="AL64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49" spans="1:38" x14ac:dyDescent="0.25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IF(tbRh[[#This Row],[Gender]]="Female","Feminino","Masculino")</f>
        <v>Masculino</v>
      </c>
      <c r="AK649" t="str" cm="1">
        <f t="array" ref="AK649">_xlfn.IFS(H649="Life Sciences", "Ciências da Vida", H649="Other", "Outro", H649="Medical", "Médico", H649="Technical Degree", "Curso Técnico", H649="Marketing", "Marketing", H649="Human Resources", "Recursos Humanos")</f>
        <v>Curso Técnico</v>
      </c>
      <c r="AL649" t="str" cm="1">
        <f t="array" ref="AL6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50" spans="1:38" x14ac:dyDescent="0.25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IF(tbRh[[#This Row],[Gender]]="Female","Feminino","Masculino")</f>
        <v>Feminino</v>
      </c>
      <c r="AK650" t="str" cm="1">
        <f t="array" ref="AK650">_xlfn.IFS(H650="Life Sciences", "Ciências da Vida", H650="Other", "Outro", H650="Medical", "Médico", H650="Technical Degree", "Curso Técnico", H650="Marketing", "Marketing", H650="Human Resources", "Recursos Humanos")</f>
        <v>Médico</v>
      </c>
      <c r="AL650" t="str" cm="1">
        <f t="array" ref="AL65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51" spans="1:38" x14ac:dyDescent="0.25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IF(tbRh[[#This Row],[Gender]]="Female","Feminino","Masculino")</f>
        <v>Feminino</v>
      </c>
      <c r="AK651" t="str" cm="1">
        <f t="array" ref="AK651">_xlfn.IFS(H651="Life Sciences", "Ciências da Vida", H651="Other", "Outro", H651="Medical", "Médico", H651="Technical Degree", "Curso Técnico", H651="Marketing", "Marketing", H651="Human Resources", "Recursos Humanos")</f>
        <v>Ciências da Vida</v>
      </c>
      <c r="AL651" t="str" cm="1">
        <f t="array" ref="AL6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52" spans="1:38" x14ac:dyDescent="0.25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IF(tbRh[[#This Row],[Gender]]="Female","Feminino","Masculino")</f>
        <v>Feminino</v>
      </c>
      <c r="AK652" t="str" cm="1">
        <f t="array" ref="AK652">_xlfn.IFS(H652="Life Sciences", "Ciências da Vida", H652="Other", "Outro", H652="Medical", "Médico", H652="Technical Degree", "Curso Técnico", H652="Marketing", "Marketing", H652="Human Resources", "Recursos Humanos")</f>
        <v>Ciências da Vida</v>
      </c>
      <c r="AL652" t="str" cm="1">
        <f t="array" ref="AL6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53" spans="1:38" x14ac:dyDescent="0.25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IF(tbRh[[#This Row],[Gender]]="Female","Feminino","Masculino")</f>
        <v>Feminino</v>
      </c>
      <c r="AK653" t="str" cm="1">
        <f t="array" ref="AK653">_xlfn.IFS(H653="Life Sciences", "Ciências da Vida", H653="Other", "Outro", H653="Medical", "Médico", H653="Technical Degree", "Curso Técnico", H653="Marketing", "Marketing", H653="Human Resources", "Recursos Humanos")</f>
        <v>Marketing</v>
      </c>
      <c r="AL653" t="str" cm="1">
        <f t="array" ref="AL6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54" spans="1:38" x14ac:dyDescent="0.25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IF(tbRh[[#This Row],[Gender]]="Female","Feminino","Masculino")</f>
        <v>Masculino</v>
      </c>
      <c r="AK654" t="str" cm="1">
        <f t="array" ref="AK654">_xlfn.IFS(H654="Life Sciences", "Ciências da Vida", H654="Other", "Outro", H654="Medical", "Médico", H654="Technical Degree", "Curso Técnico", H654="Marketing", "Marketing", H654="Human Resources", "Recursos Humanos")</f>
        <v>Médico</v>
      </c>
      <c r="AL654" t="str" cm="1">
        <f t="array" ref="AL6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55" spans="1:38" x14ac:dyDescent="0.25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IF(tbRh[[#This Row],[Gender]]="Female","Feminino","Masculino")</f>
        <v>Masculino</v>
      </c>
      <c r="AK655" t="str" cm="1">
        <f t="array" ref="AK655">_xlfn.IFS(H655="Life Sciences", "Ciências da Vida", H655="Other", "Outro", H655="Medical", "Médico", H655="Technical Degree", "Curso Técnico", H655="Marketing", "Marketing", H655="Human Resources", "Recursos Humanos")</f>
        <v>Ciências da Vida</v>
      </c>
      <c r="AL655" t="str" cm="1">
        <f t="array" ref="AL6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56" spans="1:38" x14ac:dyDescent="0.25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IF(tbRh[[#This Row],[Gender]]="Female","Feminino","Masculino")</f>
        <v>Feminino</v>
      </c>
      <c r="AK656" t="str" cm="1">
        <f t="array" ref="AK656">_xlfn.IFS(H656="Life Sciences", "Ciências da Vida", H656="Other", "Outro", H656="Medical", "Médico", H656="Technical Degree", "Curso Técnico", H656="Marketing", "Marketing", H656="Human Resources", "Recursos Humanos")</f>
        <v>Ciências da Vida</v>
      </c>
      <c r="AL656" t="str" cm="1">
        <f t="array" ref="AL656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657" spans="1:38" x14ac:dyDescent="0.25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IF(tbRh[[#This Row],[Gender]]="Female","Feminino","Masculino")</f>
        <v>Masculino</v>
      </c>
      <c r="AK657" t="str" cm="1">
        <f t="array" ref="AK657">_xlfn.IFS(H657="Life Sciences", "Ciências da Vida", H657="Other", "Outro", H657="Medical", "Médico", H657="Technical Degree", "Curso Técnico", H657="Marketing", "Marketing", H657="Human Resources", "Recursos Humanos")</f>
        <v>Recursos Humanos</v>
      </c>
      <c r="AL657" t="str" cm="1">
        <f t="array" ref="AL65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658" spans="1:38" x14ac:dyDescent="0.25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IF(tbRh[[#This Row],[Gender]]="Female","Feminino","Masculino")</f>
        <v>Masculino</v>
      </c>
      <c r="AK658" t="str" cm="1">
        <f t="array" ref="AK658">_xlfn.IFS(H658="Life Sciences", "Ciências da Vida", H658="Other", "Outro", H658="Medical", "Médico", H658="Technical Degree", "Curso Técnico", H658="Marketing", "Marketing", H658="Human Resources", "Recursos Humanos")</f>
        <v>Ciências da Vida</v>
      </c>
      <c r="AL658" t="str" cm="1">
        <f t="array" ref="AL6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59" spans="1:38" x14ac:dyDescent="0.25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IF(tbRh[[#This Row],[Gender]]="Female","Feminino","Masculino")</f>
        <v>Feminino</v>
      </c>
      <c r="AK659" t="str" cm="1">
        <f t="array" ref="AK659">_xlfn.IFS(H659="Life Sciences", "Ciências da Vida", H659="Other", "Outro", H659="Medical", "Médico", H659="Technical Degree", "Curso Técnico", H659="Marketing", "Marketing", H659="Human Resources", "Recursos Humanos")</f>
        <v>Médico</v>
      </c>
      <c r="AL659" t="str" cm="1">
        <f t="array" ref="AL6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0" spans="1:38" x14ac:dyDescent="0.25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IF(tbRh[[#This Row],[Gender]]="Female","Feminino","Masculino")</f>
        <v>Masculino</v>
      </c>
      <c r="AK660" t="str" cm="1">
        <f t="array" ref="AK660">_xlfn.IFS(H660="Life Sciences", "Ciências da Vida", H660="Other", "Outro", H660="Medical", "Médico", H660="Technical Degree", "Curso Técnico", H660="Marketing", "Marketing", H660="Human Resources", "Recursos Humanos")</f>
        <v>Ciências da Vida</v>
      </c>
      <c r="AL660" t="str" cm="1">
        <f t="array" ref="AL6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1" spans="1:38" x14ac:dyDescent="0.25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IF(tbRh[[#This Row],[Gender]]="Female","Feminino","Masculino")</f>
        <v>Masculino</v>
      </c>
      <c r="AK661" t="str" cm="1">
        <f t="array" ref="AK661">_xlfn.IFS(H661="Life Sciences", "Ciências da Vida", H661="Other", "Outro", H661="Medical", "Médico", H661="Technical Degree", "Curso Técnico", H661="Marketing", "Marketing", H661="Human Resources", "Recursos Humanos")</f>
        <v>Médico</v>
      </c>
      <c r="AL661" t="str" cm="1">
        <f t="array" ref="AL66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62" spans="1:38" x14ac:dyDescent="0.25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IF(tbRh[[#This Row],[Gender]]="Female","Feminino","Masculino")</f>
        <v>Masculino</v>
      </c>
      <c r="AK662" t="str" cm="1">
        <f t="array" ref="AK662">_xlfn.IFS(H662="Life Sciences", "Ciências da Vida", H662="Other", "Outro", H662="Medical", "Médico", H662="Technical Degree", "Curso Técnico", H662="Marketing", "Marketing", H662="Human Resources", "Recursos Humanos")</f>
        <v>Ciências da Vida</v>
      </c>
      <c r="AL662" t="str" cm="1">
        <f t="array" ref="AL6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3" spans="1:38" x14ac:dyDescent="0.25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IF(tbRh[[#This Row],[Gender]]="Female","Feminino","Masculino")</f>
        <v>Feminino</v>
      </c>
      <c r="AK663" t="str" cm="1">
        <f t="array" ref="AK663">_xlfn.IFS(H663="Life Sciences", "Ciências da Vida", H663="Other", "Outro", H663="Medical", "Médico", H663="Technical Degree", "Curso Técnico", H663="Marketing", "Marketing", H663="Human Resources", "Recursos Humanos")</f>
        <v>Ciências da Vida</v>
      </c>
      <c r="AL663" t="str" cm="1">
        <f t="array" ref="AL6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4" spans="1:38" x14ac:dyDescent="0.25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IF(tbRh[[#This Row],[Gender]]="Female","Feminino","Masculino")</f>
        <v>Feminino</v>
      </c>
      <c r="AK664" t="str" cm="1">
        <f t="array" ref="AK664">_xlfn.IFS(H664="Life Sciences", "Ciências da Vida", H664="Other", "Outro", H664="Medical", "Médico", H664="Technical Degree", "Curso Técnico", H664="Marketing", "Marketing", H664="Human Resources", "Recursos Humanos")</f>
        <v>Médico</v>
      </c>
      <c r="AL664" t="str" cm="1">
        <f t="array" ref="AL66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65" spans="1:38" x14ac:dyDescent="0.25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IF(tbRh[[#This Row],[Gender]]="Female","Feminino","Masculino")</f>
        <v>Feminino</v>
      </c>
      <c r="AK665" t="str" cm="1">
        <f t="array" ref="AK665">_xlfn.IFS(H665="Life Sciences", "Ciências da Vida", H665="Other", "Outro", H665="Medical", "Médico", H665="Technical Degree", "Curso Técnico", H665="Marketing", "Marketing", H665="Human Resources", "Recursos Humanos")</f>
        <v>Outro</v>
      </c>
      <c r="AL665" t="str" cm="1">
        <f t="array" ref="AL66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6" spans="1:38" x14ac:dyDescent="0.25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IF(tbRh[[#This Row],[Gender]]="Female","Feminino","Masculino")</f>
        <v>Masculino</v>
      </c>
      <c r="AK666" t="str" cm="1">
        <f t="array" ref="AK666">_xlfn.IFS(H666="Life Sciences", "Ciências da Vida", H666="Other", "Outro", H666="Medical", "Médico", H666="Technical Degree", "Curso Técnico", H666="Marketing", "Marketing", H666="Human Resources", "Recursos Humanos")</f>
        <v>Ciências da Vida</v>
      </c>
      <c r="AL666" t="str" cm="1">
        <f t="array" ref="AL6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7" spans="1:38" x14ac:dyDescent="0.25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IF(tbRh[[#This Row],[Gender]]="Female","Feminino","Masculino")</f>
        <v>Feminino</v>
      </c>
      <c r="AK667" t="str" cm="1">
        <f t="array" ref="AK667">_xlfn.IFS(H667="Life Sciences", "Ciências da Vida", H667="Other", "Outro", H667="Medical", "Médico", H667="Technical Degree", "Curso Técnico", H667="Marketing", "Marketing", H667="Human Resources", "Recursos Humanos")</f>
        <v>Ciências da Vida</v>
      </c>
      <c r="AL667" t="str" cm="1">
        <f t="array" ref="AL66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68" spans="1:38" x14ac:dyDescent="0.25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IF(tbRh[[#This Row],[Gender]]="Female","Feminino","Masculino")</f>
        <v>Feminino</v>
      </c>
      <c r="AK668" t="str" cm="1">
        <f t="array" ref="AK668">_xlfn.IFS(H668="Life Sciences", "Ciências da Vida", H668="Other", "Outro", H668="Medical", "Médico", H668="Technical Degree", "Curso Técnico", H668="Marketing", "Marketing", H668="Human Resources", "Recursos Humanos")</f>
        <v>Ciências da Vida</v>
      </c>
      <c r="AL668" t="str" cm="1">
        <f t="array" ref="AL6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69" spans="1:38" x14ac:dyDescent="0.25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IF(tbRh[[#This Row],[Gender]]="Female","Feminino","Masculino")</f>
        <v>Feminino</v>
      </c>
      <c r="AK669" t="str" cm="1">
        <f t="array" ref="AK669">_xlfn.IFS(H669="Life Sciences", "Ciências da Vida", H669="Other", "Outro", H669="Medical", "Médico", H669="Technical Degree", "Curso Técnico", H669="Marketing", "Marketing", H669="Human Resources", "Recursos Humanos")</f>
        <v>Ciências da Vida</v>
      </c>
      <c r="AL669" t="str" cm="1">
        <f t="array" ref="AL6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0" spans="1:38" x14ac:dyDescent="0.25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IF(tbRh[[#This Row],[Gender]]="Female","Feminino","Masculino")</f>
        <v>Feminino</v>
      </c>
      <c r="AK670" t="str" cm="1">
        <f t="array" ref="AK670">_xlfn.IFS(H670="Life Sciences", "Ciências da Vida", H670="Other", "Outro", H670="Medical", "Médico", H670="Technical Degree", "Curso Técnico", H670="Marketing", "Marketing", H670="Human Resources", "Recursos Humanos")</f>
        <v>Médico</v>
      </c>
      <c r="AL670" t="str" cm="1">
        <f t="array" ref="AL6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1" spans="1:38" x14ac:dyDescent="0.25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IF(tbRh[[#This Row],[Gender]]="Female","Feminino","Masculino")</f>
        <v>Masculino</v>
      </c>
      <c r="AK671" t="str" cm="1">
        <f t="array" ref="AK671">_xlfn.IFS(H671="Life Sciences", "Ciências da Vida", H671="Other", "Outro", H671="Medical", "Médico", H671="Technical Degree", "Curso Técnico", H671="Marketing", "Marketing", H671="Human Resources", "Recursos Humanos")</f>
        <v>Médico</v>
      </c>
      <c r="AL671" t="str" cm="1">
        <f t="array" ref="AL6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2" spans="1:38" x14ac:dyDescent="0.25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IF(tbRh[[#This Row],[Gender]]="Female","Feminino","Masculino")</f>
        <v>Feminino</v>
      </c>
      <c r="AK672" t="str" cm="1">
        <f t="array" ref="AK672">_xlfn.IFS(H672="Life Sciences", "Ciências da Vida", H672="Other", "Outro", H672="Medical", "Médico", H672="Technical Degree", "Curso Técnico", H672="Marketing", "Marketing", H672="Human Resources", "Recursos Humanos")</f>
        <v>Ciências da Vida</v>
      </c>
      <c r="AL672" t="str" cm="1">
        <f t="array" ref="AL6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3" spans="1:38" x14ac:dyDescent="0.25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IF(tbRh[[#This Row],[Gender]]="Female","Feminino","Masculino")</f>
        <v>Masculino</v>
      </c>
      <c r="AK673" t="str" cm="1">
        <f t="array" ref="AK673">_xlfn.IFS(H673="Life Sciences", "Ciências da Vida", H673="Other", "Outro", H673="Medical", "Médico", H673="Technical Degree", "Curso Técnico", H673="Marketing", "Marketing", H673="Human Resources", "Recursos Humanos")</f>
        <v>Ciências da Vida</v>
      </c>
      <c r="AL673" t="str" cm="1">
        <f t="array" ref="AL6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4" spans="1:38" x14ac:dyDescent="0.25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IF(tbRh[[#This Row],[Gender]]="Female","Feminino","Masculino")</f>
        <v>Feminino</v>
      </c>
      <c r="AK674" t="str" cm="1">
        <f t="array" ref="AK674">_xlfn.IFS(H674="Life Sciences", "Ciências da Vida", H674="Other", "Outro", H674="Medical", "Médico", H674="Technical Degree", "Curso Técnico", H674="Marketing", "Marketing", H674="Human Resources", "Recursos Humanos")</f>
        <v>Médico</v>
      </c>
      <c r="AL674" t="str" cm="1">
        <f t="array" ref="AL67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75" spans="1:38" x14ac:dyDescent="0.25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IF(tbRh[[#This Row],[Gender]]="Female","Feminino","Masculino")</f>
        <v>Masculino</v>
      </c>
      <c r="AK675" t="str" cm="1">
        <f t="array" ref="AK675">_xlfn.IFS(H675="Life Sciences", "Ciências da Vida", H675="Other", "Outro", H675="Medical", "Médico", H675="Technical Degree", "Curso Técnico", H675="Marketing", "Marketing", H675="Human Resources", "Recursos Humanos")</f>
        <v>Outro</v>
      </c>
      <c r="AL675" t="str" cm="1">
        <f t="array" ref="AL6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6" spans="1:38" x14ac:dyDescent="0.25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IF(tbRh[[#This Row],[Gender]]="Female","Feminino","Masculino")</f>
        <v>Feminino</v>
      </c>
      <c r="AK676" t="str" cm="1">
        <f t="array" ref="AK676">_xlfn.IFS(H676="Life Sciences", "Ciências da Vida", H676="Other", "Outro", H676="Medical", "Médico", H676="Technical Degree", "Curso Técnico", H676="Marketing", "Marketing", H676="Human Resources", "Recursos Humanos")</f>
        <v>Curso Técnico</v>
      </c>
      <c r="AL676" t="str" cm="1">
        <f t="array" ref="AL6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7" spans="1:38" x14ac:dyDescent="0.25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IF(tbRh[[#This Row],[Gender]]="Female","Feminino","Masculino")</f>
        <v>Masculino</v>
      </c>
      <c r="AK677" t="str" cm="1">
        <f t="array" ref="AK677">_xlfn.IFS(H677="Life Sciences", "Ciências da Vida", H677="Other", "Outro", H677="Medical", "Médico", H677="Technical Degree", "Curso Técnico", H677="Marketing", "Marketing", H677="Human Resources", "Recursos Humanos")</f>
        <v>Ciências da Vida</v>
      </c>
      <c r="AL677" t="str" cm="1">
        <f t="array" ref="AL67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78" spans="1:38" x14ac:dyDescent="0.25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IF(tbRh[[#This Row],[Gender]]="Female","Feminino","Masculino")</f>
        <v>Feminino</v>
      </c>
      <c r="AK678" t="str" cm="1">
        <f t="array" ref="AK678">_xlfn.IFS(H678="Life Sciences", "Ciências da Vida", H678="Other", "Outro", H678="Medical", "Médico", H678="Technical Degree", "Curso Técnico", H678="Marketing", "Marketing", H678="Human Resources", "Recursos Humanos")</f>
        <v>Ciências da Vida</v>
      </c>
      <c r="AL678" t="str" cm="1">
        <f t="array" ref="AL6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79" spans="1:38" x14ac:dyDescent="0.25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IF(tbRh[[#This Row],[Gender]]="Female","Feminino","Masculino")</f>
        <v>Feminino</v>
      </c>
      <c r="AK679" t="str" cm="1">
        <f t="array" ref="AK679">_xlfn.IFS(H679="Life Sciences", "Ciências da Vida", H679="Other", "Outro", H679="Medical", "Médico", H679="Technical Degree", "Curso Técnico", H679="Marketing", "Marketing", H679="Human Resources", "Recursos Humanos")</f>
        <v>Outro</v>
      </c>
      <c r="AL679" t="str" cm="1">
        <f t="array" ref="AL6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0" spans="1:38" x14ac:dyDescent="0.25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IF(tbRh[[#This Row],[Gender]]="Female","Feminino","Masculino")</f>
        <v>Masculino</v>
      </c>
      <c r="AK680" t="str" cm="1">
        <f t="array" ref="AK680">_xlfn.IFS(H680="Life Sciences", "Ciências da Vida", H680="Other", "Outro", H680="Medical", "Médico", H680="Technical Degree", "Curso Técnico", H680="Marketing", "Marketing", H680="Human Resources", "Recursos Humanos")</f>
        <v>Médico</v>
      </c>
      <c r="AL680" t="str" cm="1">
        <f t="array" ref="AL6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1" spans="1:38" x14ac:dyDescent="0.25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IF(tbRh[[#This Row],[Gender]]="Female","Feminino","Masculino")</f>
        <v>Feminino</v>
      </c>
      <c r="AK681" t="str" cm="1">
        <f t="array" ref="AK681">_xlfn.IFS(H681="Life Sciences", "Ciências da Vida", H681="Other", "Outro", H681="Medical", "Médico", H681="Technical Degree", "Curso Técnico", H681="Marketing", "Marketing", H681="Human Resources", "Recursos Humanos")</f>
        <v>Marketing</v>
      </c>
      <c r="AL681" t="str" cm="1">
        <f t="array" ref="AL68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82" spans="1:38" x14ac:dyDescent="0.25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IF(tbRh[[#This Row],[Gender]]="Female","Feminino","Masculino")</f>
        <v>Masculino</v>
      </c>
      <c r="AK682" t="str" cm="1">
        <f t="array" ref="AK682">_xlfn.IFS(H682="Life Sciences", "Ciências da Vida", H682="Other", "Outro", H682="Medical", "Médico", H682="Technical Degree", "Curso Técnico", H682="Marketing", "Marketing", H682="Human Resources", "Recursos Humanos")</f>
        <v>Outro</v>
      </c>
      <c r="AL682" t="str" cm="1">
        <f t="array" ref="AL6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3" spans="1:38" x14ac:dyDescent="0.25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IF(tbRh[[#This Row],[Gender]]="Female","Feminino","Masculino")</f>
        <v>Feminino</v>
      </c>
      <c r="AK683" t="str" cm="1">
        <f t="array" ref="AK683">_xlfn.IFS(H683="Life Sciences", "Ciências da Vida", H683="Other", "Outro", H683="Medical", "Médico", H683="Technical Degree", "Curso Técnico", H683="Marketing", "Marketing", H683="Human Resources", "Recursos Humanos")</f>
        <v>Curso Técnico</v>
      </c>
      <c r="AL683" t="str" cm="1">
        <f t="array" ref="AL6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4" spans="1:38" x14ac:dyDescent="0.25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IF(tbRh[[#This Row],[Gender]]="Female","Feminino","Masculino")</f>
        <v>Feminino</v>
      </c>
      <c r="AK684" t="str" cm="1">
        <f t="array" ref="AK684">_xlfn.IFS(H684="Life Sciences", "Ciências da Vida", H684="Other", "Outro", H684="Medical", "Médico", H684="Technical Degree", "Curso Técnico", H684="Marketing", "Marketing", H684="Human Resources", "Recursos Humanos")</f>
        <v>Ciências da Vida</v>
      </c>
      <c r="AL684" t="str" cm="1">
        <f t="array" ref="AL6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5" spans="1:38" x14ac:dyDescent="0.25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IF(tbRh[[#This Row],[Gender]]="Female","Feminino","Masculino")</f>
        <v>Masculino</v>
      </c>
      <c r="AK685" t="str" cm="1">
        <f t="array" ref="AK685">_xlfn.IFS(H685="Life Sciences", "Ciências da Vida", H685="Other", "Outro", H685="Medical", "Médico", H685="Technical Degree", "Curso Técnico", H685="Marketing", "Marketing", H685="Human Resources", "Recursos Humanos")</f>
        <v>Marketing</v>
      </c>
      <c r="AL685" t="str" cm="1">
        <f t="array" ref="AL68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86" spans="1:38" x14ac:dyDescent="0.25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IF(tbRh[[#This Row],[Gender]]="Female","Feminino","Masculino")</f>
        <v>Masculino</v>
      </c>
      <c r="AK686" t="str" cm="1">
        <f t="array" ref="AK686">_xlfn.IFS(H686="Life Sciences", "Ciências da Vida", H686="Other", "Outro", H686="Medical", "Médico", H686="Technical Degree", "Curso Técnico", H686="Marketing", "Marketing", H686="Human Resources", "Recursos Humanos")</f>
        <v>Marketing</v>
      </c>
      <c r="AL686" t="str" cm="1">
        <f t="array" ref="AL6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87" spans="1:38" x14ac:dyDescent="0.25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IF(tbRh[[#This Row],[Gender]]="Female","Feminino","Masculino")</f>
        <v>Masculino</v>
      </c>
      <c r="AK687" t="str" cm="1">
        <f t="array" ref="AK687">_xlfn.IFS(H687="Life Sciences", "Ciências da Vida", H687="Other", "Outro", H687="Medical", "Médico", H687="Technical Degree", "Curso Técnico", H687="Marketing", "Marketing", H687="Human Resources", "Recursos Humanos")</f>
        <v>Médico</v>
      </c>
      <c r="AL687" t="str" cm="1">
        <f t="array" ref="AL68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88" spans="1:38" x14ac:dyDescent="0.25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IF(tbRh[[#This Row],[Gender]]="Female","Feminino","Masculino")</f>
        <v>Masculino</v>
      </c>
      <c r="AK688" t="str" cm="1">
        <f t="array" ref="AK688">_xlfn.IFS(H688="Life Sciences", "Ciências da Vida", H688="Other", "Outro", H688="Medical", "Médico", H688="Technical Degree", "Curso Técnico", H688="Marketing", "Marketing", H688="Human Resources", "Recursos Humanos")</f>
        <v>Médico</v>
      </c>
      <c r="AL688" t="str" cm="1">
        <f t="array" ref="AL6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89" spans="1:38" x14ac:dyDescent="0.25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IF(tbRh[[#This Row],[Gender]]="Female","Feminino","Masculino")</f>
        <v>Masculino</v>
      </c>
      <c r="AK689" t="str" cm="1">
        <f t="array" ref="AK689">_xlfn.IFS(H689="Life Sciences", "Ciências da Vida", H689="Other", "Outro", H689="Medical", "Médico", H689="Technical Degree", "Curso Técnico", H689="Marketing", "Marketing", H689="Human Resources", "Recursos Humanos")</f>
        <v>Médico</v>
      </c>
      <c r="AL689" t="str" cm="1">
        <f t="array" ref="AL6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0" spans="1:38" x14ac:dyDescent="0.25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IF(tbRh[[#This Row],[Gender]]="Female","Feminino","Masculino")</f>
        <v>Masculino</v>
      </c>
      <c r="AK690" t="str" cm="1">
        <f t="array" ref="AK690">_xlfn.IFS(H690="Life Sciences", "Ciências da Vida", H690="Other", "Outro", H690="Medical", "Médico", H690="Technical Degree", "Curso Técnico", H690="Marketing", "Marketing", H690="Human Resources", "Recursos Humanos")</f>
        <v>Outro</v>
      </c>
      <c r="AL690" t="str" cm="1">
        <f t="array" ref="AL69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91" spans="1:38" x14ac:dyDescent="0.25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IF(tbRh[[#This Row],[Gender]]="Female","Feminino","Masculino")</f>
        <v>Masculino</v>
      </c>
      <c r="AK691" t="str" cm="1">
        <f t="array" ref="AK691">_xlfn.IFS(H691="Life Sciences", "Ciências da Vida", H691="Other", "Outro", H691="Medical", "Médico", H691="Technical Degree", "Curso Técnico", H691="Marketing", "Marketing", H691="Human Resources", "Recursos Humanos")</f>
        <v>Curso Técnico</v>
      </c>
      <c r="AL691" t="str" cm="1">
        <f t="array" ref="AL6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2" spans="1:38" x14ac:dyDescent="0.25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IF(tbRh[[#This Row],[Gender]]="Female","Feminino","Masculino")</f>
        <v>Feminino</v>
      </c>
      <c r="AK692" t="str" cm="1">
        <f t="array" ref="AK692">_xlfn.IFS(H692="Life Sciences", "Ciências da Vida", H692="Other", "Outro", H692="Medical", "Médico", H692="Technical Degree", "Curso Técnico", H692="Marketing", "Marketing", H692="Human Resources", "Recursos Humanos")</f>
        <v>Médico</v>
      </c>
      <c r="AL692" t="str" cm="1">
        <f t="array" ref="AL6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3" spans="1:38" x14ac:dyDescent="0.25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IF(tbRh[[#This Row],[Gender]]="Female","Feminino","Masculino")</f>
        <v>Masculino</v>
      </c>
      <c r="AK693" t="str" cm="1">
        <f t="array" ref="AK693">_xlfn.IFS(H693="Life Sciences", "Ciências da Vida", H693="Other", "Outro", H693="Medical", "Médico", H693="Technical Degree", "Curso Técnico", H693="Marketing", "Marketing", H693="Human Resources", "Recursos Humanos")</f>
        <v>Médico</v>
      </c>
      <c r="AL693" t="str" cm="1">
        <f t="array" ref="AL6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4" spans="1:38" x14ac:dyDescent="0.25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IF(tbRh[[#This Row],[Gender]]="Female","Feminino","Masculino")</f>
        <v>Feminino</v>
      </c>
      <c r="AK694" t="str" cm="1">
        <f t="array" ref="AK694">_xlfn.IFS(H694="Life Sciences", "Ciências da Vida", H694="Other", "Outro", H694="Medical", "Médico", H694="Technical Degree", "Curso Técnico", H694="Marketing", "Marketing", H694="Human Resources", "Recursos Humanos")</f>
        <v>Médico</v>
      </c>
      <c r="AL694" t="str" cm="1">
        <f t="array" ref="AL6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5" spans="1:38" x14ac:dyDescent="0.25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IF(tbRh[[#This Row],[Gender]]="Female","Feminino","Masculino")</f>
        <v>Masculino</v>
      </c>
      <c r="AK695" t="str" cm="1">
        <f t="array" ref="AK695">_xlfn.IFS(H695="Life Sciences", "Ciências da Vida", H695="Other", "Outro", H695="Medical", "Médico", H695="Technical Degree", "Curso Técnico", H695="Marketing", "Marketing", H695="Human Resources", "Recursos Humanos")</f>
        <v>Ciências da Vida</v>
      </c>
      <c r="AL695" t="str" cm="1">
        <f t="array" ref="AL69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96" spans="1:38" x14ac:dyDescent="0.25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IF(tbRh[[#This Row],[Gender]]="Female","Feminino","Masculino")</f>
        <v>Feminino</v>
      </c>
      <c r="AK696" t="str" cm="1">
        <f t="array" ref="AK696">_xlfn.IFS(H696="Life Sciences", "Ciências da Vida", H696="Other", "Outro", H696="Medical", "Médico", H696="Technical Degree", "Curso Técnico", H696="Marketing", "Marketing", H696="Human Resources", "Recursos Humanos")</f>
        <v>Ciências da Vida</v>
      </c>
      <c r="AL696" t="str" cm="1">
        <f t="array" ref="AL6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7" spans="1:38" x14ac:dyDescent="0.25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IF(tbRh[[#This Row],[Gender]]="Female","Feminino","Masculino")</f>
        <v>Masculino</v>
      </c>
      <c r="AK697" t="str" cm="1">
        <f t="array" ref="AK697">_xlfn.IFS(H697="Life Sciences", "Ciências da Vida", H697="Other", "Outro", H697="Medical", "Médico", H697="Technical Degree", "Curso Técnico", H697="Marketing", "Marketing", H697="Human Resources", "Recursos Humanos")</f>
        <v>Ciências da Vida</v>
      </c>
      <c r="AL697" t="str" cm="1">
        <f t="array" ref="AL69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698" spans="1:38" x14ac:dyDescent="0.25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IF(tbRh[[#This Row],[Gender]]="Female","Feminino","Masculino")</f>
        <v>Masculino</v>
      </c>
      <c r="AK698" t="str" cm="1">
        <f t="array" ref="AK698">_xlfn.IFS(H698="Life Sciences", "Ciências da Vida", H698="Other", "Outro", H698="Medical", "Médico", H698="Technical Degree", "Curso Técnico", H698="Marketing", "Marketing", H698="Human Resources", "Recursos Humanos")</f>
        <v>Ciências da Vida</v>
      </c>
      <c r="AL698" t="str" cm="1">
        <f t="array" ref="AL6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699" spans="1:38" x14ac:dyDescent="0.25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IF(tbRh[[#This Row],[Gender]]="Female","Feminino","Masculino")</f>
        <v>Feminino</v>
      </c>
      <c r="AK699" t="str" cm="1">
        <f t="array" ref="AK699">_xlfn.IFS(H699="Life Sciences", "Ciências da Vida", H699="Other", "Outro", H699="Medical", "Médico", H699="Technical Degree", "Curso Técnico", H699="Marketing", "Marketing", H699="Human Resources", "Recursos Humanos")</f>
        <v>Curso Técnico</v>
      </c>
      <c r="AL699" t="str" cm="1">
        <f t="array" ref="AL69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0" spans="1:38" x14ac:dyDescent="0.25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IF(tbRh[[#This Row],[Gender]]="Female","Feminino","Masculino")</f>
        <v>Feminino</v>
      </c>
      <c r="AK700" t="str" cm="1">
        <f t="array" ref="AK700">_xlfn.IFS(H700="Life Sciences", "Ciências da Vida", H700="Other", "Outro", H700="Medical", "Médico", H700="Technical Degree", "Curso Técnico", H700="Marketing", "Marketing", H700="Human Resources", "Recursos Humanos")</f>
        <v>Médico</v>
      </c>
      <c r="AL700" t="str" cm="1">
        <f t="array" ref="AL70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1" spans="1:38" x14ac:dyDescent="0.25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IF(tbRh[[#This Row],[Gender]]="Female","Feminino","Masculino")</f>
        <v>Masculino</v>
      </c>
      <c r="AK701" t="str" cm="1">
        <f t="array" ref="AK701">_xlfn.IFS(H701="Life Sciences", "Ciências da Vida", H701="Other", "Outro", H701="Medical", "Médico", H701="Technical Degree", "Curso Técnico", H701="Marketing", "Marketing", H701="Human Resources", "Recursos Humanos")</f>
        <v>Ciências da Vida</v>
      </c>
      <c r="AL701" t="str" cm="1">
        <f t="array" ref="AL7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02" spans="1:38" x14ac:dyDescent="0.25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IF(tbRh[[#This Row],[Gender]]="Female","Feminino","Masculino")</f>
        <v>Masculino</v>
      </c>
      <c r="AK702" t="str" cm="1">
        <f t="array" ref="AK702">_xlfn.IFS(H702="Life Sciences", "Ciências da Vida", H702="Other", "Outro", H702="Medical", "Médico", H702="Technical Degree", "Curso Técnico", H702="Marketing", "Marketing", H702="Human Resources", "Recursos Humanos")</f>
        <v>Curso Técnico</v>
      </c>
      <c r="AL702" t="str" cm="1">
        <f t="array" ref="AL7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03" spans="1:38" x14ac:dyDescent="0.25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IF(tbRh[[#This Row],[Gender]]="Female","Feminino","Masculino")</f>
        <v>Masculino</v>
      </c>
      <c r="AK703" t="str" cm="1">
        <f t="array" ref="AK703">_xlfn.IFS(H703="Life Sciences", "Ciências da Vida", H703="Other", "Outro", H703="Medical", "Médico", H703="Technical Degree", "Curso Técnico", H703="Marketing", "Marketing", H703="Human Resources", "Recursos Humanos")</f>
        <v>Médico</v>
      </c>
      <c r="AL703" t="str" cm="1">
        <f t="array" ref="AL70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4" spans="1:38" x14ac:dyDescent="0.25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IF(tbRh[[#This Row],[Gender]]="Female","Feminino","Masculino")</f>
        <v>Masculino</v>
      </c>
      <c r="AK704" t="str" cm="1">
        <f t="array" ref="AK704">_xlfn.IFS(H704="Life Sciences", "Ciências da Vida", H704="Other", "Outro", H704="Medical", "Médico", H704="Technical Degree", "Curso Técnico", H704="Marketing", "Marketing", H704="Human Resources", "Recursos Humanos")</f>
        <v>Outro</v>
      </c>
      <c r="AL704" t="str" cm="1">
        <f t="array" ref="AL70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5" spans="1:38" x14ac:dyDescent="0.25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IF(tbRh[[#This Row],[Gender]]="Female","Feminino","Masculino")</f>
        <v>Feminino</v>
      </c>
      <c r="AK705" t="str" cm="1">
        <f t="array" ref="AK705">_xlfn.IFS(H705="Life Sciences", "Ciências da Vida", H705="Other", "Outro", H705="Medical", "Médico", H705="Technical Degree", "Curso Técnico", H705="Marketing", "Marketing", H705="Human Resources", "Recursos Humanos")</f>
        <v>Curso Técnico</v>
      </c>
      <c r="AL705" t="str" cm="1">
        <f t="array" ref="AL70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6" spans="1:38" x14ac:dyDescent="0.25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IF(tbRh[[#This Row],[Gender]]="Female","Feminino","Masculino")</f>
        <v>Masculino</v>
      </c>
      <c r="AK706" t="str" cm="1">
        <f t="array" ref="AK706">_xlfn.IFS(H706="Life Sciences", "Ciências da Vida", H706="Other", "Outro", H706="Medical", "Médico", H706="Technical Degree", "Curso Técnico", H706="Marketing", "Marketing", H706="Human Resources", "Recursos Humanos")</f>
        <v>Ciências da Vida</v>
      </c>
      <c r="AL706" t="str" cm="1">
        <f t="array" ref="AL70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7" spans="1:38" x14ac:dyDescent="0.25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IF(tbRh[[#This Row],[Gender]]="Female","Feminino","Masculino")</f>
        <v>Masculino</v>
      </c>
      <c r="AK707" t="str" cm="1">
        <f t="array" ref="AK707">_xlfn.IFS(H707="Life Sciences", "Ciências da Vida", H707="Other", "Outro", H707="Medical", "Médico", H707="Technical Degree", "Curso Técnico", H707="Marketing", "Marketing", H707="Human Resources", "Recursos Humanos")</f>
        <v>Ciências da Vida</v>
      </c>
      <c r="AL707" t="str" cm="1">
        <f t="array" ref="AL70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8" spans="1:38" x14ac:dyDescent="0.25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IF(tbRh[[#This Row],[Gender]]="Female","Feminino","Masculino")</f>
        <v>Feminino</v>
      </c>
      <c r="AK708" t="str" cm="1">
        <f t="array" ref="AK708">_xlfn.IFS(H708="Life Sciences", "Ciências da Vida", H708="Other", "Outro", H708="Medical", "Médico", H708="Technical Degree", "Curso Técnico", H708="Marketing", "Marketing", H708="Human Resources", "Recursos Humanos")</f>
        <v>Ciências da Vida</v>
      </c>
      <c r="AL708" t="str" cm="1">
        <f t="array" ref="AL70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09" spans="1:38" x14ac:dyDescent="0.25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IF(tbRh[[#This Row],[Gender]]="Female","Feminino","Masculino")</f>
        <v>Masculino</v>
      </c>
      <c r="AK709" t="str" cm="1">
        <f t="array" ref="AK709">_xlfn.IFS(H709="Life Sciences", "Ciências da Vida", H709="Other", "Outro", H709="Medical", "Médico", H709="Technical Degree", "Curso Técnico", H709="Marketing", "Marketing", H709="Human Resources", "Recursos Humanos")</f>
        <v>Médico</v>
      </c>
      <c r="AL709" t="str" cm="1">
        <f t="array" ref="AL7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0" spans="1:38" x14ac:dyDescent="0.25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IF(tbRh[[#This Row],[Gender]]="Female","Feminino","Masculino")</f>
        <v>Masculino</v>
      </c>
      <c r="AK710" t="str" cm="1">
        <f t="array" ref="AK710">_xlfn.IFS(H710="Life Sciences", "Ciências da Vida", H710="Other", "Outro", H710="Medical", "Médico", H710="Technical Degree", "Curso Técnico", H710="Marketing", "Marketing", H710="Human Resources", "Recursos Humanos")</f>
        <v>Curso Técnico</v>
      </c>
      <c r="AL710" t="str" cm="1">
        <f t="array" ref="AL71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11" spans="1:38" x14ac:dyDescent="0.25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IF(tbRh[[#This Row],[Gender]]="Female","Feminino","Masculino")</f>
        <v>Masculino</v>
      </c>
      <c r="AK711" t="str" cm="1">
        <f t="array" ref="AK711">_xlfn.IFS(H711="Life Sciences", "Ciências da Vida", H711="Other", "Outro", H711="Medical", "Médico", H711="Technical Degree", "Curso Técnico", H711="Marketing", "Marketing", H711="Human Resources", "Recursos Humanos")</f>
        <v>Médico</v>
      </c>
      <c r="AL711" t="str" cm="1">
        <f t="array" ref="AL7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2" spans="1:38" x14ac:dyDescent="0.25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IF(tbRh[[#This Row],[Gender]]="Female","Feminino","Masculino")</f>
        <v>Masculino</v>
      </c>
      <c r="AK712" t="str" cm="1">
        <f t="array" ref="AK712">_xlfn.IFS(H712="Life Sciences", "Ciências da Vida", H712="Other", "Outro", H712="Medical", "Médico", H712="Technical Degree", "Curso Técnico", H712="Marketing", "Marketing", H712="Human Resources", "Recursos Humanos")</f>
        <v>Ciências da Vida</v>
      </c>
      <c r="AL712" t="str" cm="1">
        <f t="array" ref="AL71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13" spans="1:38" x14ac:dyDescent="0.25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IF(tbRh[[#This Row],[Gender]]="Female","Feminino","Masculino")</f>
        <v>Feminino</v>
      </c>
      <c r="AK713" t="str" cm="1">
        <f t="array" ref="AK713">_xlfn.IFS(H713="Life Sciences", "Ciências da Vida", H713="Other", "Outro", H713="Medical", "Médico", H713="Technical Degree", "Curso Técnico", H713="Marketing", "Marketing", H713="Human Resources", "Recursos Humanos")</f>
        <v>Ciências da Vida</v>
      </c>
      <c r="AL713" t="str" cm="1">
        <f t="array" ref="AL7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4" spans="1:38" x14ac:dyDescent="0.25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IF(tbRh[[#This Row],[Gender]]="Female","Feminino","Masculino")</f>
        <v>Feminino</v>
      </c>
      <c r="AK714" t="str" cm="1">
        <f t="array" ref="AK714">_xlfn.IFS(H714="Life Sciences", "Ciências da Vida", H714="Other", "Outro", H714="Medical", "Médico", H714="Technical Degree", "Curso Técnico", H714="Marketing", "Marketing", H714="Human Resources", "Recursos Humanos")</f>
        <v>Ciências da Vida</v>
      </c>
      <c r="AL714" t="str" cm="1">
        <f t="array" ref="AL7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5" spans="1:38" x14ac:dyDescent="0.25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IF(tbRh[[#This Row],[Gender]]="Female","Feminino","Masculino")</f>
        <v>Feminino</v>
      </c>
      <c r="AK715" t="str" cm="1">
        <f t="array" ref="AK715">_xlfn.IFS(H715="Life Sciences", "Ciências da Vida", H715="Other", "Outro", H715="Medical", "Médico", H715="Technical Degree", "Curso Técnico", H715="Marketing", "Marketing", H715="Human Resources", "Recursos Humanos")</f>
        <v>Médico</v>
      </c>
      <c r="AL715" t="str" cm="1">
        <f t="array" ref="AL7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6" spans="1:38" x14ac:dyDescent="0.25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IF(tbRh[[#This Row],[Gender]]="Female","Feminino","Masculino")</f>
        <v>Masculino</v>
      </c>
      <c r="AK716" t="str" cm="1">
        <f t="array" ref="AK716">_xlfn.IFS(H716="Life Sciences", "Ciências da Vida", H716="Other", "Outro", H716="Medical", "Médico", H716="Technical Degree", "Curso Técnico", H716="Marketing", "Marketing", H716="Human Resources", "Recursos Humanos")</f>
        <v>Médico</v>
      </c>
      <c r="AL716" t="str" cm="1">
        <f t="array" ref="AL7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7" spans="1:38" x14ac:dyDescent="0.25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IF(tbRh[[#This Row],[Gender]]="Female","Feminino","Masculino")</f>
        <v>Feminino</v>
      </c>
      <c r="AK717" t="str" cm="1">
        <f t="array" ref="AK717">_xlfn.IFS(H717="Life Sciences", "Ciências da Vida", H717="Other", "Outro", H717="Medical", "Médico", H717="Technical Degree", "Curso Técnico", H717="Marketing", "Marketing", H717="Human Resources", "Recursos Humanos")</f>
        <v>Outro</v>
      </c>
      <c r="AL717" t="str" cm="1">
        <f t="array" ref="AL7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8" spans="1:38" x14ac:dyDescent="0.25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IF(tbRh[[#This Row],[Gender]]="Female","Feminino","Masculino")</f>
        <v>Masculino</v>
      </c>
      <c r="AK718" t="str" cm="1">
        <f t="array" ref="AK718">_xlfn.IFS(H718="Life Sciences", "Ciências da Vida", H718="Other", "Outro", H718="Medical", "Médico", H718="Technical Degree", "Curso Técnico", H718="Marketing", "Marketing", H718="Human Resources", "Recursos Humanos")</f>
        <v>Médico</v>
      </c>
      <c r="AL718" t="str" cm="1">
        <f t="array" ref="AL7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19" spans="1:38" x14ac:dyDescent="0.25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IF(tbRh[[#This Row],[Gender]]="Female","Feminino","Masculino")</f>
        <v>Feminino</v>
      </c>
      <c r="AK719" t="str" cm="1">
        <f t="array" ref="AK719">_xlfn.IFS(H719="Life Sciences", "Ciências da Vida", H719="Other", "Outro", H719="Medical", "Médico", H719="Technical Degree", "Curso Técnico", H719="Marketing", "Marketing", H719="Human Resources", "Recursos Humanos")</f>
        <v>Curso Técnico</v>
      </c>
      <c r="AL719" t="str" cm="1">
        <f t="array" ref="AL7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0" spans="1:38" x14ac:dyDescent="0.25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IF(tbRh[[#This Row],[Gender]]="Female","Feminino","Masculino")</f>
        <v>Masculino</v>
      </c>
      <c r="AK720" t="str" cm="1">
        <f t="array" ref="AK720">_xlfn.IFS(H720="Life Sciences", "Ciências da Vida", H720="Other", "Outro", H720="Medical", "Médico", H720="Technical Degree", "Curso Técnico", H720="Marketing", "Marketing", H720="Human Resources", "Recursos Humanos")</f>
        <v>Ciências da Vida</v>
      </c>
      <c r="AL720" t="str" cm="1">
        <f t="array" ref="AL7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1" spans="1:38" x14ac:dyDescent="0.25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IF(tbRh[[#This Row],[Gender]]="Female","Feminino","Masculino")</f>
        <v>Feminino</v>
      </c>
      <c r="AK721" t="str" cm="1">
        <f t="array" ref="AK721">_xlfn.IFS(H721="Life Sciences", "Ciências da Vida", H721="Other", "Outro", H721="Medical", "Médico", H721="Technical Degree", "Curso Técnico", H721="Marketing", "Marketing", H721="Human Resources", "Recursos Humanos")</f>
        <v>Ciências da Vida</v>
      </c>
      <c r="AL721" t="str" cm="1">
        <f t="array" ref="AL7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22" spans="1:38" x14ac:dyDescent="0.25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IF(tbRh[[#This Row],[Gender]]="Female","Feminino","Masculino")</f>
        <v>Feminino</v>
      </c>
      <c r="AK722" t="str" cm="1">
        <f t="array" ref="AK722">_xlfn.IFS(H722="Life Sciences", "Ciências da Vida", H722="Other", "Outro", H722="Medical", "Médico", H722="Technical Degree", "Curso Técnico", H722="Marketing", "Marketing", H722="Human Resources", "Recursos Humanos")</f>
        <v>Ciências da Vida</v>
      </c>
      <c r="AL722" t="str" cm="1">
        <f t="array" ref="AL7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3" spans="1:38" x14ac:dyDescent="0.25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IF(tbRh[[#This Row],[Gender]]="Female","Feminino","Masculino")</f>
        <v>Masculino</v>
      </c>
      <c r="AK723" t="str" cm="1">
        <f t="array" ref="AK723">_xlfn.IFS(H723="Life Sciences", "Ciências da Vida", H723="Other", "Outro", H723="Medical", "Médico", H723="Technical Degree", "Curso Técnico", H723="Marketing", "Marketing", H723="Human Resources", "Recursos Humanos")</f>
        <v>Ciências da Vida</v>
      </c>
      <c r="AL723" t="str" cm="1">
        <f t="array" ref="AL7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4" spans="1:38" x14ac:dyDescent="0.25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IF(tbRh[[#This Row],[Gender]]="Female","Feminino","Masculino")</f>
        <v>Masculino</v>
      </c>
      <c r="AK724" t="str" cm="1">
        <f t="array" ref="AK724">_xlfn.IFS(H724="Life Sciences", "Ciências da Vida", H724="Other", "Outro", H724="Medical", "Médico", H724="Technical Degree", "Curso Técnico", H724="Marketing", "Marketing", H724="Human Resources", "Recursos Humanos")</f>
        <v>Médico</v>
      </c>
      <c r="AL724" t="str" cm="1">
        <f t="array" ref="AL7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5" spans="1:38" x14ac:dyDescent="0.25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IF(tbRh[[#This Row],[Gender]]="Female","Feminino","Masculino")</f>
        <v>Masculino</v>
      </c>
      <c r="AK725" t="str" cm="1">
        <f t="array" ref="AK725">_xlfn.IFS(H725="Life Sciences", "Ciências da Vida", H725="Other", "Outro", H725="Medical", "Médico", H725="Technical Degree", "Curso Técnico", H725="Marketing", "Marketing", H725="Human Resources", "Recursos Humanos")</f>
        <v>Médico</v>
      </c>
      <c r="AL725" t="str" cm="1">
        <f t="array" ref="AL7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6" spans="1:38" x14ac:dyDescent="0.25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IF(tbRh[[#This Row],[Gender]]="Female","Feminino","Masculino")</f>
        <v>Feminino</v>
      </c>
      <c r="AK726" t="str" cm="1">
        <f t="array" ref="AK726">_xlfn.IFS(H726="Life Sciences", "Ciências da Vida", H726="Other", "Outro", H726="Medical", "Médico", H726="Technical Degree", "Curso Técnico", H726="Marketing", "Marketing", H726="Human Resources", "Recursos Humanos")</f>
        <v>Médico</v>
      </c>
      <c r="AL726" t="str" cm="1">
        <f t="array" ref="AL7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7" spans="1:38" x14ac:dyDescent="0.25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IF(tbRh[[#This Row],[Gender]]="Female","Feminino","Masculino")</f>
        <v>Masculino</v>
      </c>
      <c r="AK727" t="str" cm="1">
        <f t="array" ref="AK727">_xlfn.IFS(H727="Life Sciences", "Ciências da Vida", H727="Other", "Outro", H727="Medical", "Médico", H727="Technical Degree", "Curso Técnico", H727="Marketing", "Marketing", H727="Human Resources", "Recursos Humanos")</f>
        <v>Outro</v>
      </c>
      <c r="AL727" t="str" cm="1">
        <f t="array" ref="AL7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8" spans="1:38" x14ac:dyDescent="0.25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IF(tbRh[[#This Row],[Gender]]="Female","Feminino","Masculino")</f>
        <v>Feminino</v>
      </c>
      <c r="AK728" t="str" cm="1">
        <f t="array" ref="AK728">_xlfn.IFS(H728="Life Sciences", "Ciências da Vida", H728="Other", "Outro", H728="Medical", "Médico", H728="Technical Degree", "Curso Técnico", H728="Marketing", "Marketing", H728="Human Resources", "Recursos Humanos")</f>
        <v>Ciências da Vida</v>
      </c>
      <c r="AL728" t="str" cm="1">
        <f t="array" ref="AL7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29" spans="1:38" x14ac:dyDescent="0.25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IF(tbRh[[#This Row],[Gender]]="Female","Feminino","Masculino")</f>
        <v>Masculino</v>
      </c>
      <c r="AK729" t="str" cm="1">
        <f t="array" ref="AK729">_xlfn.IFS(H729="Life Sciences", "Ciências da Vida", H729="Other", "Outro", H729="Medical", "Médico", H729="Technical Degree", "Curso Técnico", H729="Marketing", "Marketing", H729="Human Resources", "Recursos Humanos")</f>
        <v>Ciências da Vida</v>
      </c>
      <c r="AL729" t="str" cm="1">
        <f t="array" ref="AL7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0" spans="1:38" x14ac:dyDescent="0.25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IF(tbRh[[#This Row],[Gender]]="Female","Feminino","Masculino")</f>
        <v>Feminino</v>
      </c>
      <c r="AK730" t="str" cm="1">
        <f t="array" ref="AK730">_xlfn.IFS(H730="Life Sciences", "Ciências da Vida", H730="Other", "Outro", H730="Medical", "Médico", H730="Technical Degree", "Curso Técnico", H730="Marketing", "Marketing", H730="Human Resources", "Recursos Humanos")</f>
        <v>Curso Técnico</v>
      </c>
      <c r="AL730" t="str" cm="1">
        <f t="array" ref="AL7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1" spans="1:38" x14ac:dyDescent="0.25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IF(tbRh[[#This Row],[Gender]]="Female","Feminino","Masculino")</f>
        <v>Feminino</v>
      </c>
      <c r="AK731" t="str" cm="1">
        <f t="array" ref="AK731">_xlfn.IFS(H731="Life Sciences", "Ciências da Vida", H731="Other", "Outro", H731="Medical", "Médico", H731="Technical Degree", "Curso Técnico", H731="Marketing", "Marketing", H731="Human Resources", "Recursos Humanos")</f>
        <v>Médico</v>
      </c>
      <c r="AL731" t="str" cm="1">
        <f t="array" ref="AL7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2" spans="1:38" x14ac:dyDescent="0.25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IF(tbRh[[#This Row],[Gender]]="Female","Feminino","Masculino")</f>
        <v>Feminino</v>
      </c>
      <c r="AK732" t="str" cm="1">
        <f t="array" ref="AK732">_xlfn.IFS(H732="Life Sciences", "Ciências da Vida", H732="Other", "Outro", H732="Medical", "Médico", H732="Technical Degree", "Curso Técnico", H732="Marketing", "Marketing", H732="Human Resources", "Recursos Humanos")</f>
        <v>Ciências da Vida</v>
      </c>
      <c r="AL732" t="str" cm="1">
        <f t="array" ref="AL7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3" spans="1:38" x14ac:dyDescent="0.25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IF(tbRh[[#This Row],[Gender]]="Female","Feminino","Masculino")</f>
        <v>Feminino</v>
      </c>
      <c r="AK733" t="str" cm="1">
        <f t="array" ref="AK733">_xlfn.IFS(H733="Life Sciences", "Ciências da Vida", H733="Other", "Outro", H733="Medical", "Médico", H733="Technical Degree", "Curso Técnico", H733="Marketing", "Marketing", H733="Human Resources", "Recursos Humanos")</f>
        <v>Médico</v>
      </c>
      <c r="AL733" t="str" cm="1">
        <f t="array" ref="AL7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4" spans="1:38" x14ac:dyDescent="0.25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IF(tbRh[[#This Row],[Gender]]="Female","Feminino","Masculino")</f>
        <v>Feminino</v>
      </c>
      <c r="AK734" t="str" cm="1">
        <f t="array" ref="AK734">_xlfn.IFS(H734="Life Sciences", "Ciências da Vida", H734="Other", "Outro", H734="Medical", "Médico", H734="Technical Degree", "Curso Técnico", H734="Marketing", "Marketing", H734="Human Resources", "Recursos Humanos")</f>
        <v>Médico</v>
      </c>
      <c r="AL734" t="str" cm="1">
        <f t="array" ref="AL7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5" spans="1:38" x14ac:dyDescent="0.25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IF(tbRh[[#This Row],[Gender]]="Female","Feminino","Masculino")</f>
        <v>Masculino</v>
      </c>
      <c r="AK735" t="str" cm="1">
        <f t="array" ref="AK735">_xlfn.IFS(H735="Life Sciences", "Ciências da Vida", H735="Other", "Outro", H735="Medical", "Médico", H735="Technical Degree", "Curso Técnico", H735="Marketing", "Marketing", H735="Human Resources", "Recursos Humanos")</f>
        <v>Médico</v>
      </c>
      <c r="AL735" t="str" cm="1">
        <f t="array" ref="AL7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6" spans="1:38" x14ac:dyDescent="0.25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IF(tbRh[[#This Row],[Gender]]="Female","Feminino","Masculino")</f>
        <v>Masculino</v>
      </c>
      <c r="AK736" t="str" cm="1">
        <f t="array" ref="AK736">_xlfn.IFS(H736="Life Sciences", "Ciências da Vida", H736="Other", "Outro", H736="Medical", "Médico", H736="Technical Degree", "Curso Técnico", H736="Marketing", "Marketing", H736="Human Resources", "Recursos Humanos")</f>
        <v>Ciências da Vida</v>
      </c>
      <c r="AL736" t="str" cm="1">
        <f t="array" ref="AL7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7" spans="1:38" x14ac:dyDescent="0.25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IF(tbRh[[#This Row],[Gender]]="Female","Feminino","Masculino")</f>
        <v>Masculino</v>
      </c>
      <c r="AK737" t="str" cm="1">
        <f t="array" ref="AK737">_xlfn.IFS(H737="Life Sciences", "Ciências da Vida", H737="Other", "Outro", H737="Medical", "Médico", H737="Technical Degree", "Curso Técnico", H737="Marketing", "Marketing", H737="Human Resources", "Recursos Humanos")</f>
        <v>Ciências da Vida</v>
      </c>
      <c r="AL737" t="str" cm="1">
        <f t="array" ref="AL7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8" spans="1:38" x14ac:dyDescent="0.25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IF(tbRh[[#This Row],[Gender]]="Female","Feminino","Masculino")</f>
        <v>Masculino</v>
      </c>
      <c r="AK738" t="str" cm="1">
        <f t="array" ref="AK738">_xlfn.IFS(H738="Life Sciences", "Ciências da Vida", H738="Other", "Outro", H738="Medical", "Médico", H738="Technical Degree", "Curso Técnico", H738="Marketing", "Marketing", H738="Human Resources", "Recursos Humanos")</f>
        <v>Ciências da Vida</v>
      </c>
      <c r="AL738" t="str" cm="1">
        <f t="array" ref="AL7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39" spans="1:38" x14ac:dyDescent="0.25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IF(tbRh[[#This Row],[Gender]]="Female","Feminino","Masculino")</f>
        <v>Feminino</v>
      </c>
      <c r="AK739" t="str" cm="1">
        <f t="array" ref="AK739">_xlfn.IFS(H739="Life Sciences", "Ciências da Vida", H739="Other", "Outro", H739="Medical", "Médico", H739="Technical Degree", "Curso Técnico", H739="Marketing", "Marketing", H739="Human Resources", "Recursos Humanos")</f>
        <v>Médico</v>
      </c>
      <c r="AL739" t="str" cm="1">
        <f t="array" ref="AL7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0" spans="1:38" x14ac:dyDescent="0.25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IF(tbRh[[#This Row],[Gender]]="Female","Feminino","Masculino")</f>
        <v>Feminino</v>
      </c>
      <c r="AK740" t="str" cm="1">
        <f t="array" ref="AK740">_xlfn.IFS(H740="Life Sciences", "Ciências da Vida", H740="Other", "Outro", H740="Medical", "Médico", H740="Technical Degree", "Curso Técnico", H740="Marketing", "Marketing", H740="Human Resources", "Recursos Humanos")</f>
        <v>Ciências da Vida</v>
      </c>
      <c r="AL740" t="str" cm="1">
        <f t="array" ref="AL74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1" spans="1:38" x14ac:dyDescent="0.25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IF(tbRh[[#This Row],[Gender]]="Female","Feminino","Masculino")</f>
        <v>Feminino</v>
      </c>
      <c r="AK741" t="str" cm="1">
        <f t="array" ref="AK741">_xlfn.IFS(H741="Life Sciences", "Ciências da Vida", H741="Other", "Outro", H741="Medical", "Médico", H741="Technical Degree", "Curso Técnico", H741="Marketing", "Marketing", H741="Human Resources", "Recursos Humanos")</f>
        <v>Ciências da Vida</v>
      </c>
      <c r="AL741" t="str" cm="1">
        <f t="array" ref="AL7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2" spans="1:38" x14ac:dyDescent="0.25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IF(tbRh[[#This Row],[Gender]]="Female","Feminino","Masculino")</f>
        <v>Masculino</v>
      </c>
      <c r="AK742" t="str" cm="1">
        <f t="array" ref="AK742">_xlfn.IFS(H742="Life Sciences", "Ciências da Vida", H742="Other", "Outro", H742="Medical", "Médico", H742="Technical Degree", "Curso Técnico", H742="Marketing", "Marketing", H742="Human Resources", "Recursos Humanos")</f>
        <v>Outro</v>
      </c>
      <c r="AL742" t="str" cm="1">
        <f t="array" ref="AL7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3" spans="1:38" x14ac:dyDescent="0.25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IF(tbRh[[#This Row],[Gender]]="Female","Feminino","Masculino")</f>
        <v>Masculino</v>
      </c>
      <c r="AK743" t="str" cm="1">
        <f t="array" ref="AK743">_xlfn.IFS(H743="Life Sciences", "Ciências da Vida", H743="Other", "Outro", H743="Medical", "Médico", H743="Technical Degree", "Curso Técnico", H743="Marketing", "Marketing", H743="Human Resources", "Recursos Humanos")</f>
        <v>Marketing</v>
      </c>
      <c r="AL743" t="str" cm="1">
        <f t="array" ref="AL74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44" spans="1:38" x14ac:dyDescent="0.25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IF(tbRh[[#This Row],[Gender]]="Female","Feminino","Masculino")</f>
        <v>Masculino</v>
      </c>
      <c r="AK744" t="str" cm="1">
        <f t="array" ref="AK744">_xlfn.IFS(H744="Life Sciences", "Ciências da Vida", H744="Other", "Outro", H744="Medical", "Médico", H744="Technical Degree", "Curso Técnico", H744="Marketing", "Marketing", H744="Human Resources", "Recursos Humanos")</f>
        <v>Ciências da Vida</v>
      </c>
      <c r="AL744" t="str" cm="1">
        <f t="array" ref="AL7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5" spans="1:38" x14ac:dyDescent="0.25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IF(tbRh[[#This Row],[Gender]]="Female","Feminino","Masculino")</f>
        <v>Feminino</v>
      </c>
      <c r="AK745" t="str" cm="1">
        <f t="array" ref="AK745">_xlfn.IFS(H745="Life Sciences", "Ciências da Vida", H745="Other", "Outro", H745="Medical", "Médico", H745="Technical Degree", "Curso Técnico", H745="Marketing", "Marketing", H745="Human Resources", "Recursos Humanos")</f>
        <v>Ciências da Vida</v>
      </c>
      <c r="AL745" t="str" cm="1">
        <f t="array" ref="AL7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6" spans="1:38" x14ac:dyDescent="0.25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IF(tbRh[[#This Row],[Gender]]="Female","Feminino","Masculino")</f>
        <v>Feminino</v>
      </c>
      <c r="AK746" t="str" cm="1">
        <f t="array" ref="AK746">_xlfn.IFS(H746="Life Sciences", "Ciências da Vida", H746="Other", "Outro", H746="Medical", "Médico", H746="Technical Degree", "Curso Técnico", H746="Marketing", "Marketing", H746="Human Resources", "Recursos Humanos")</f>
        <v>Médico</v>
      </c>
      <c r="AL746" t="str" cm="1">
        <f t="array" ref="AL7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7" spans="1:38" x14ac:dyDescent="0.25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IF(tbRh[[#This Row],[Gender]]="Female","Feminino","Masculino")</f>
        <v>Masculino</v>
      </c>
      <c r="AK747" t="str" cm="1">
        <f t="array" ref="AK747">_xlfn.IFS(H747="Life Sciences", "Ciências da Vida", H747="Other", "Outro", H747="Medical", "Médico", H747="Technical Degree", "Curso Técnico", H747="Marketing", "Marketing", H747="Human Resources", "Recursos Humanos")</f>
        <v>Médico</v>
      </c>
      <c r="AL747" t="str" cm="1">
        <f t="array" ref="AL7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8" spans="1:38" x14ac:dyDescent="0.25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IF(tbRh[[#This Row],[Gender]]="Female","Feminino","Masculino")</f>
        <v>Feminino</v>
      </c>
      <c r="AK748" t="str" cm="1">
        <f t="array" ref="AK748">_xlfn.IFS(H748="Life Sciences", "Ciências da Vida", H748="Other", "Outro", H748="Medical", "Médico", H748="Technical Degree", "Curso Técnico", H748="Marketing", "Marketing", H748="Human Resources", "Recursos Humanos")</f>
        <v>Ciências da Vida</v>
      </c>
      <c r="AL748" t="str" cm="1">
        <f t="array" ref="AL7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49" spans="1:38" x14ac:dyDescent="0.25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IF(tbRh[[#This Row],[Gender]]="Female","Feminino","Masculino")</f>
        <v>Masculino</v>
      </c>
      <c r="AK749" t="str" cm="1">
        <f t="array" ref="AK749">_xlfn.IFS(H749="Life Sciences", "Ciências da Vida", H749="Other", "Outro", H749="Medical", "Médico", H749="Technical Degree", "Curso Técnico", H749="Marketing", "Marketing", H749="Human Resources", "Recursos Humanos")</f>
        <v>Ciências da Vida</v>
      </c>
      <c r="AL749" t="str" cm="1">
        <f t="array" ref="AL7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0" spans="1:38" x14ac:dyDescent="0.25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IF(tbRh[[#This Row],[Gender]]="Female","Feminino","Masculino")</f>
        <v>Masculino</v>
      </c>
      <c r="AK750" t="str" cm="1">
        <f t="array" ref="AK750">_xlfn.IFS(H750="Life Sciences", "Ciências da Vida", H750="Other", "Outro", H750="Medical", "Médico", H750="Technical Degree", "Curso Técnico", H750="Marketing", "Marketing", H750="Human Resources", "Recursos Humanos")</f>
        <v>Médico</v>
      </c>
      <c r="AL750" t="str" cm="1">
        <f t="array" ref="AL75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1" spans="1:38" x14ac:dyDescent="0.25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IF(tbRh[[#This Row],[Gender]]="Female","Feminino","Masculino")</f>
        <v>Feminino</v>
      </c>
      <c r="AK751" t="str" cm="1">
        <f t="array" ref="AK751">_xlfn.IFS(H751="Life Sciences", "Ciências da Vida", H751="Other", "Outro", H751="Medical", "Médico", H751="Technical Degree", "Curso Técnico", H751="Marketing", "Marketing", H751="Human Resources", "Recursos Humanos")</f>
        <v>Marketing</v>
      </c>
      <c r="AL751" t="str" cm="1">
        <f t="array" ref="AL75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2" spans="1:38" x14ac:dyDescent="0.25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IF(tbRh[[#This Row],[Gender]]="Female","Feminino","Masculino")</f>
        <v>Feminino</v>
      </c>
      <c r="AK752" t="str" cm="1">
        <f t="array" ref="AK752">_xlfn.IFS(H752="Life Sciences", "Ciências da Vida", H752="Other", "Outro", H752="Medical", "Médico", H752="Technical Degree", "Curso Técnico", H752="Marketing", "Marketing", H752="Human Resources", "Recursos Humanos")</f>
        <v>Médico</v>
      </c>
      <c r="AL752" t="str" cm="1">
        <f t="array" ref="AL75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3" spans="1:38" x14ac:dyDescent="0.25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IF(tbRh[[#This Row],[Gender]]="Female","Feminino","Masculino")</f>
        <v>Feminino</v>
      </c>
      <c r="AK753" t="str" cm="1">
        <f t="array" ref="AK753">_xlfn.IFS(H753="Life Sciences", "Ciências da Vida", H753="Other", "Outro", H753="Medical", "Médico", H753="Technical Degree", "Curso Técnico", H753="Marketing", "Marketing", H753="Human Resources", "Recursos Humanos")</f>
        <v>Ciências da Vida</v>
      </c>
      <c r="AL753" t="str" cm="1">
        <f t="array" ref="AL7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4" spans="1:38" x14ac:dyDescent="0.25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IF(tbRh[[#This Row],[Gender]]="Female","Feminino","Masculino")</f>
        <v>Feminino</v>
      </c>
      <c r="AK754" t="str" cm="1">
        <f t="array" ref="AK754">_xlfn.IFS(H754="Life Sciences", "Ciências da Vida", H754="Other", "Outro", H754="Medical", "Médico", H754="Technical Degree", "Curso Técnico", H754="Marketing", "Marketing", H754="Human Resources", "Recursos Humanos")</f>
        <v>Ciências da Vida</v>
      </c>
      <c r="AL754" t="str" cm="1">
        <f t="array" ref="AL7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55" spans="1:38" x14ac:dyDescent="0.25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IF(tbRh[[#This Row],[Gender]]="Female","Feminino","Masculino")</f>
        <v>Feminino</v>
      </c>
      <c r="AK755" t="str" cm="1">
        <f t="array" ref="AK755">_xlfn.IFS(H755="Life Sciences", "Ciências da Vida", H755="Other", "Outro", H755="Medical", "Médico", H755="Technical Degree", "Curso Técnico", H755="Marketing", "Marketing", H755="Human Resources", "Recursos Humanos")</f>
        <v>Médico</v>
      </c>
      <c r="AL755" t="str" cm="1">
        <f t="array" ref="AL7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56" spans="1:38" x14ac:dyDescent="0.25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IF(tbRh[[#This Row],[Gender]]="Female","Feminino","Masculino")</f>
        <v>Feminino</v>
      </c>
      <c r="AK756" t="str" cm="1">
        <f t="array" ref="AK756">_xlfn.IFS(H756="Life Sciences", "Ciências da Vida", H756="Other", "Outro", H756="Medical", "Médico", H756="Technical Degree", "Curso Técnico", H756="Marketing", "Marketing", H756="Human Resources", "Recursos Humanos")</f>
        <v>Ciências da Vida</v>
      </c>
      <c r="AL756" t="str" cm="1">
        <f t="array" ref="AL7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7" spans="1:38" x14ac:dyDescent="0.25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IF(tbRh[[#This Row],[Gender]]="Female","Feminino","Masculino")</f>
        <v>Feminino</v>
      </c>
      <c r="AK757" t="str" cm="1">
        <f t="array" ref="AK757">_xlfn.IFS(H757="Life Sciences", "Ciências da Vida", H757="Other", "Outro", H757="Medical", "Médico", H757="Technical Degree", "Curso Técnico", H757="Marketing", "Marketing", H757="Human Resources", "Recursos Humanos")</f>
        <v>Ciências da Vida</v>
      </c>
      <c r="AL757" t="str" cm="1">
        <f t="array" ref="AL75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58" spans="1:38" x14ac:dyDescent="0.25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IF(tbRh[[#This Row],[Gender]]="Female","Feminino","Masculino")</f>
        <v>Feminino</v>
      </c>
      <c r="AK758" t="str" cm="1">
        <f t="array" ref="AK758">_xlfn.IFS(H758="Life Sciences", "Ciências da Vida", H758="Other", "Outro", H758="Medical", "Médico", H758="Technical Degree", "Curso Técnico", H758="Marketing", "Marketing", H758="Human Resources", "Recursos Humanos")</f>
        <v>Médico</v>
      </c>
      <c r="AL758" t="str" cm="1">
        <f t="array" ref="AL7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59" spans="1:38" x14ac:dyDescent="0.25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IF(tbRh[[#This Row],[Gender]]="Female","Feminino","Masculino")</f>
        <v>Masculino</v>
      </c>
      <c r="AK759" t="str" cm="1">
        <f t="array" ref="AK759">_xlfn.IFS(H759="Life Sciences", "Ciências da Vida", H759="Other", "Outro", H759="Medical", "Médico", H759="Technical Degree", "Curso Técnico", H759="Marketing", "Marketing", H759="Human Resources", "Recursos Humanos")</f>
        <v>Marketing</v>
      </c>
      <c r="AL759" t="str" cm="1">
        <f t="array" ref="AL75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60" spans="1:38" x14ac:dyDescent="0.25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IF(tbRh[[#This Row],[Gender]]="Female","Feminino","Masculino")</f>
        <v>Masculino</v>
      </c>
      <c r="AK760" t="str" cm="1">
        <f t="array" ref="AK760">_xlfn.IFS(H760="Life Sciences", "Ciências da Vida", H760="Other", "Outro", H760="Medical", "Médico", H760="Technical Degree", "Curso Técnico", H760="Marketing", "Marketing", H760="Human Resources", "Recursos Humanos")</f>
        <v>Curso Técnico</v>
      </c>
      <c r="AL760" t="str" cm="1">
        <f t="array" ref="AL76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61" spans="1:38" x14ac:dyDescent="0.25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IF(tbRh[[#This Row],[Gender]]="Female","Feminino","Masculino")</f>
        <v>Masculino</v>
      </c>
      <c r="AK761" t="str" cm="1">
        <f t="array" ref="AK761">_xlfn.IFS(H761="Life Sciences", "Ciências da Vida", H761="Other", "Outro", H761="Medical", "Médico", H761="Technical Degree", "Curso Técnico", H761="Marketing", "Marketing", H761="Human Resources", "Recursos Humanos")</f>
        <v>Médico</v>
      </c>
      <c r="AL761" t="str" cm="1">
        <f t="array" ref="AL76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762" spans="1:38" x14ac:dyDescent="0.25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IF(tbRh[[#This Row],[Gender]]="Female","Feminino","Masculino")</f>
        <v>Feminino</v>
      </c>
      <c r="AK762" t="str" cm="1">
        <f t="array" ref="AK762">_xlfn.IFS(H762="Life Sciences", "Ciências da Vida", H762="Other", "Outro", H762="Medical", "Médico", H762="Technical Degree", "Curso Técnico", H762="Marketing", "Marketing", H762="Human Resources", "Recursos Humanos")</f>
        <v>Marketing</v>
      </c>
      <c r="AL762" t="str" cm="1">
        <f t="array" ref="AL76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63" spans="1:38" x14ac:dyDescent="0.25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IF(tbRh[[#This Row],[Gender]]="Female","Feminino","Masculino")</f>
        <v>Masculino</v>
      </c>
      <c r="AK763" t="str" cm="1">
        <f t="array" ref="AK763">_xlfn.IFS(H763="Life Sciences", "Ciências da Vida", H763="Other", "Outro", H763="Medical", "Médico", H763="Technical Degree", "Curso Técnico", H763="Marketing", "Marketing", H763="Human Resources", "Recursos Humanos")</f>
        <v>Outro</v>
      </c>
      <c r="AL763" t="str" cm="1">
        <f t="array" ref="AL7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64" spans="1:38" x14ac:dyDescent="0.25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IF(tbRh[[#This Row],[Gender]]="Female","Feminino","Masculino")</f>
        <v>Masculino</v>
      </c>
      <c r="AK764" t="str" cm="1">
        <f t="array" ref="AK764">_xlfn.IFS(H764="Life Sciences", "Ciências da Vida", H764="Other", "Outro", H764="Medical", "Médico", H764="Technical Degree", "Curso Técnico", H764="Marketing", "Marketing", H764="Human Resources", "Recursos Humanos")</f>
        <v>Ciências da Vida</v>
      </c>
      <c r="AL764" t="str" cm="1">
        <f t="array" ref="AL7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65" spans="1:38" x14ac:dyDescent="0.25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IF(tbRh[[#This Row],[Gender]]="Female","Feminino","Masculino")</f>
        <v>Feminino</v>
      </c>
      <c r="AK765" t="str" cm="1">
        <f t="array" ref="AK765">_xlfn.IFS(H765="Life Sciences", "Ciências da Vida", H765="Other", "Outro", H765="Medical", "Médico", H765="Technical Degree", "Curso Técnico", H765="Marketing", "Marketing", H765="Human Resources", "Recursos Humanos")</f>
        <v>Ciências da Vida</v>
      </c>
      <c r="AL765" t="str" cm="1">
        <f t="array" ref="AL7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66" spans="1:38" x14ac:dyDescent="0.25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IF(tbRh[[#This Row],[Gender]]="Female","Feminino","Masculino")</f>
        <v>Masculino</v>
      </c>
      <c r="AK766" t="str" cm="1">
        <f t="array" ref="AK766">_xlfn.IFS(H766="Life Sciences", "Ciências da Vida", H766="Other", "Outro", H766="Medical", "Médico", H766="Technical Degree", "Curso Técnico", H766="Marketing", "Marketing", H766="Human Resources", "Recursos Humanos")</f>
        <v>Médico</v>
      </c>
      <c r="AL766" t="str" cm="1">
        <f t="array" ref="AL76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67" spans="1:38" x14ac:dyDescent="0.25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IF(tbRh[[#This Row],[Gender]]="Female","Feminino","Masculino")</f>
        <v>Masculino</v>
      </c>
      <c r="AK767" t="str" cm="1">
        <f t="array" ref="AK767">_xlfn.IFS(H767="Life Sciences", "Ciências da Vida", H767="Other", "Outro", H767="Medical", "Médico", H767="Technical Degree", "Curso Técnico", H767="Marketing", "Marketing", H767="Human Resources", "Recursos Humanos")</f>
        <v>Outro</v>
      </c>
      <c r="AL767" t="str" cm="1">
        <f t="array" ref="AL7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68" spans="1:38" x14ac:dyDescent="0.25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IF(tbRh[[#This Row],[Gender]]="Female","Feminino","Masculino")</f>
        <v>Masculino</v>
      </c>
      <c r="AK768" t="str" cm="1">
        <f t="array" ref="AK768">_xlfn.IFS(H768="Life Sciences", "Ciências da Vida", H768="Other", "Outro", H768="Medical", "Médico", H768="Technical Degree", "Curso Técnico", H768="Marketing", "Marketing", H768="Human Resources", "Recursos Humanos")</f>
        <v>Médico</v>
      </c>
      <c r="AL768" t="str" cm="1">
        <f t="array" ref="AL7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69" spans="1:38" x14ac:dyDescent="0.25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IF(tbRh[[#This Row],[Gender]]="Female","Feminino","Masculino")</f>
        <v>Feminino</v>
      </c>
      <c r="AK769" t="str" cm="1">
        <f t="array" ref="AK769">_xlfn.IFS(H769="Life Sciences", "Ciências da Vida", H769="Other", "Outro", H769="Medical", "Médico", H769="Technical Degree", "Curso Técnico", H769="Marketing", "Marketing", H769="Human Resources", "Recursos Humanos")</f>
        <v>Outro</v>
      </c>
      <c r="AL769" t="str" cm="1">
        <f t="array" ref="AL7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0" spans="1:38" x14ac:dyDescent="0.25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IF(tbRh[[#This Row],[Gender]]="Female","Feminino","Masculino")</f>
        <v>Masculino</v>
      </c>
      <c r="AK770" t="str" cm="1">
        <f t="array" ref="AK770">_xlfn.IFS(H770="Life Sciences", "Ciências da Vida", H770="Other", "Outro", H770="Medical", "Médico", H770="Technical Degree", "Curso Técnico", H770="Marketing", "Marketing", H770="Human Resources", "Recursos Humanos")</f>
        <v>Marketing</v>
      </c>
      <c r="AL770" t="str" cm="1">
        <f t="array" ref="AL77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71" spans="1:38" x14ac:dyDescent="0.25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IF(tbRh[[#This Row],[Gender]]="Female","Feminino","Masculino")</f>
        <v>Feminino</v>
      </c>
      <c r="AK771" t="str" cm="1">
        <f t="array" ref="AK771">_xlfn.IFS(H771="Life Sciences", "Ciências da Vida", H771="Other", "Outro", H771="Medical", "Médico", H771="Technical Degree", "Curso Técnico", H771="Marketing", "Marketing", H771="Human Resources", "Recursos Humanos")</f>
        <v>Médico</v>
      </c>
      <c r="AL771" t="str" cm="1">
        <f t="array" ref="AL7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2" spans="1:38" x14ac:dyDescent="0.25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IF(tbRh[[#This Row],[Gender]]="Female","Feminino","Masculino")</f>
        <v>Masculino</v>
      </c>
      <c r="AK772" t="str" cm="1">
        <f t="array" ref="AK772">_xlfn.IFS(H772="Life Sciences", "Ciências da Vida", H772="Other", "Outro", H772="Medical", "Médico", H772="Technical Degree", "Curso Técnico", H772="Marketing", "Marketing", H772="Human Resources", "Recursos Humanos")</f>
        <v>Médico</v>
      </c>
      <c r="AL772" t="str" cm="1">
        <f t="array" ref="AL7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3" spans="1:38" x14ac:dyDescent="0.25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IF(tbRh[[#This Row],[Gender]]="Female","Feminino","Masculino")</f>
        <v>Feminino</v>
      </c>
      <c r="AK773" t="str" cm="1">
        <f t="array" ref="AK773">_xlfn.IFS(H773="Life Sciences", "Ciências da Vida", H773="Other", "Outro", H773="Medical", "Médico", H773="Technical Degree", "Curso Técnico", H773="Marketing", "Marketing", H773="Human Resources", "Recursos Humanos")</f>
        <v>Ciências da Vida</v>
      </c>
      <c r="AL773" t="str" cm="1">
        <f t="array" ref="AL77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74" spans="1:38" x14ac:dyDescent="0.25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IF(tbRh[[#This Row],[Gender]]="Female","Feminino","Masculino")</f>
        <v>Feminino</v>
      </c>
      <c r="AK774" t="str" cm="1">
        <f t="array" ref="AK774">_xlfn.IFS(H774="Life Sciences", "Ciências da Vida", H774="Other", "Outro", H774="Medical", "Médico", H774="Technical Degree", "Curso Técnico", H774="Marketing", "Marketing", H774="Human Resources", "Recursos Humanos")</f>
        <v>Médico</v>
      </c>
      <c r="AL774" t="str" cm="1">
        <f t="array" ref="AL7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5" spans="1:38" x14ac:dyDescent="0.25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IF(tbRh[[#This Row],[Gender]]="Female","Feminino","Masculino")</f>
        <v>Feminino</v>
      </c>
      <c r="AK775" t="str" cm="1">
        <f t="array" ref="AK775">_xlfn.IFS(H775="Life Sciences", "Ciências da Vida", H775="Other", "Outro", H775="Medical", "Médico", H775="Technical Degree", "Curso Técnico", H775="Marketing", "Marketing", H775="Human Resources", "Recursos Humanos")</f>
        <v>Médico</v>
      </c>
      <c r="AL775" t="str" cm="1">
        <f t="array" ref="AL7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6" spans="1:38" x14ac:dyDescent="0.25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IF(tbRh[[#This Row],[Gender]]="Female","Feminino","Masculino")</f>
        <v>Masculino</v>
      </c>
      <c r="AK776" t="str" cm="1">
        <f t="array" ref="AK776">_xlfn.IFS(H776="Life Sciences", "Ciências da Vida", H776="Other", "Outro", H776="Medical", "Médico", H776="Technical Degree", "Curso Técnico", H776="Marketing", "Marketing", H776="Human Resources", "Recursos Humanos")</f>
        <v>Médico</v>
      </c>
      <c r="AL776" t="str" cm="1">
        <f t="array" ref="AL7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77" spans="1:38" x14ac:dyDescent="0.25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IF(tbRh[[#This Row],[Gender]]="Female","Feminino","Masculino")</f>
        <v>Masculino</v>
      </c>
      <c r="AK777" t="str" cm="1">
        <f t="array" ref="AK777">_xlfn.IFS(H777="Life Sciences", "Ciências da Vida", H777="Other", "Outro", H777="Medical", "Médico", H777="Technical Degree", "Curso Técnico", H777="Marketing", "Marketing", H777="Human Resources", "Recursos Humanos")</f>
        <v>Médico</v>
      </c>
      <c r="AL777" t="str" cm="1">
        <f t="array" ref="AL77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78" spans="1:38" x14ac:dyDescent="0.25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IF(tbRh[[#This Row],[Gender]]="Female","Feminino","Masculino")</f>
        <v>Feminino</v>
      </c>
      <c r="AK778" t="str" cm="1">
        <f t="array" ref="AK778">_xlfn.IFS(H778="Life Sciences", "Ciências da Vida", H778="Other", "Outro", H778="Medical", "Médico", H778="Technical Degree", "Curso Técnico", H778="Marketing", "Marketing", H778="Human Resources", "Recursos Humanos")</f>
        <v>Marketing</v>
      </c>
      <c r="AL778" t="str" cm="1">
        <f t="array" ref="AL77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79" spans="1:38" x14ac:dyDescent="0.25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IF(tbRh[[#This Row],[Gender]]="Female","Feminino","Masculino")</f>
        <v>Feminino</v>
      </c>
      <c r="AK779" t="str" cm="1">
        <f t="array" ref="AK779">_xlfn.IFS(H779="Life Sciences", "Ciências da Vida", H779="Other", "Outro", H779="Medical", "Médico", H779="Technical Degree", "Curso Técnico", H779="Marketing", "Marketing", H779="Human Resources", "Recursos Humanos")</f>
        <v>Ciências da Vida</v>
      </c>
      <c r="AL779" t="str" cm="1">
        <f t="array" ref="AL7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0" spans="1:38" x14ac:dyDescent="0.25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IF(tbRh[[#This Row],[Gender]]="Female","Feminino","Masculino")</f>
        <v>Feminino</v>
      </c>
      <c r="AK780" t="str" cm="1">
        <f t="array" ref="AK780">_xlfn.IFS(H780="Life Sciences", "Ciências da Vida", H780="Other", "Outro", H780="Medical", "Médico", H780="Technical Degree", "Curso Técnico", H780="Marketing", "Marketing", H780="Human Resources", "Recursos Humanos")</f>
        <v>Ciências da Vida</v>
      </c>
      <c r="AL780" t="str" cm="1">
        <f t="array" ref="AL7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1" spans="1:38" x14ac:dyDescent="0.25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IF(tbRh[[#This Row],[Gender]]="Female","Feminino","Masculino")</f>
        <v>Masculino</v>
      </c>
      <c r="AK781" t="str" cm="1">
        <f t="array" ref="AK781">_xlfn.IFS(H781="Life Sciences", "Ciências da Vida", H781="Other", "Outro", H781="Medical", "Médico", H781="Technical Degree", "Curso Técnico", H781="Marketing", "Marketing", H781="Human Resources", "Recursos Humanos")</f>
        <v>Ciências da Vida</v>
      </c>
      <c r="AL781" t="str" cm="1">
        <f t="array" ref="AL7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2" spans="1:38" x14ac:dyDescent="0.25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IF(tbRh[[#This Row],[Gender]]="Female","Feminino","Masculino")</f>
        <v>Masculino</v>
      </c>
      <c r="AK782" t="str" cm="1">
        <f t="array" ref="AK782">_xlfn.IFS(H782="Life Sciences", "Ciências da Vida", H782="Other", "Outro", H782="Medical", "Médico", H782="Technical Degree", "Curso Técnico", H782="Marketing", "Marketing", H782="Human Resources", "Recursos Humanos")</f>
        <v>Curso Técnico</v>
      </c>
      <c r="AL782" t="str" cm="1">
        <f t="array" ref="AL7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3" spans="1:38" x14ac:dyDescent="0.25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IF(tbRh[[#This Row],[Gender]]="Female","Feminino","Masculino")</f>
        <v>Masculino</v>
      </c>
      <c r="AK783" t="str" cm="1">
        <f t="array" ref="AK783">_xlfn.IFS(H783="Life Sciences", "Ciências da Vida", H783="Other", "Outro", H783="Medical", "Médico", H783="Technical Degree", "Curso Técnico", H783="Marketing", "Marketing", H783="Human Resources", "Recursos Humanos")</f>
        <v>Médico</v>
      </c>
      <c r="AL783" t="str" cm="1">
        <f t="array" ref="AL7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4" spans="1:38" x14ac:dyDescent="0.25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IF(tbRh[[#This Row],[Gender]]="Female","Feminino","Masculino")</f>
        <v>Masculino</v>
      </c>
      <c r="AK784" t="str" cm="1">
        <f t="array" ref="AK784">_xlfn.IFS(H784="Life Sciences", "Ciências da Vida", H784="Other", "Outro", H784="Medical", "Médico", H784="Technical Degree", "Curso Técnico", H784="Marketing", "Marketing", H784="Human Resources", "Recursos Humanos")</f>
        <v>Outro</v>
      </c>
      <c r="AL784" t="str" cm="1">
        <f t="array" ref="AL7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5" spans="1:38" x14ac:dyDescent="0.25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IF(tbRh[[#This Row],[Gender]]="Female","Feminino","Masculino")</f>
        <v>Feminino</v>
      </c>
      <c r="AK785" t="str" cm="1">
        <f t="array" ref="AK785">_xlfn.IFS(H785="Life Sciences", "Ciências da Vida", H785="Other", "Outro", H785="Medical", "Médico", H785="Technical Degree", "Curso Técnico", H785="Marketing", "Marketing", H785="Human Resources", "Recursos Humanos")</f>
        <v>Curso Técnico</v>
      </c>
      <c r="AL785" t="str" cm="1">
        <f t="array" ref="AL7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6" spans="1:38" x14ac:dyDescent="0.25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IF(tbRh[[#This Row],[Gender]]="Female","Feminino","Masculino")</f>
        <v>Feminino</v>
      </c>
      <c r="AK786" t="str" cm="1">
        <f t="array" ref="AK786">_xlfn.IFS(H786="Life Sciences", "Ciências da Vida", H786="Other", "Outro", H786="Medical", "Médico", H786="Technical Degree", "Curso Técnico", H786="Marketing", "Marketing", H786="Human Resources", "Recursos Humanos")</f>
        <v>Ciências da Vida</v>
      </c>
      <c r="AL786" t="str" cm="1">
        <f t="array" ref="AL7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7" spans="1:38" x14ac:dyDescent="0.25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IF(tbRh[[#This Row],[Gender]]="Female","Feminino","Masculino")</f>
        <v>Masculino</v>
      </c>
      <c r="AK787" t="str" cm="1">
        <f t="array" ref="AK787">_xlfn.IFS(H787="Life Sciences", "Ciências da Vida", H787="Other", "Outro", H787="Medical", "Médico", H787="Technical Degree", "Curso Técnico", H787="Marketing", "Marketing", H787="Human Resources", "Recursos Humanos")</f>
        <v>Curso Técnico</v>
      </c>
      <c r="AL787" t="str" cm="1">
        <f t="array" ref="AL7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8" spans="1:38" x14ac:dyDescent="0.25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IF(tbRh[[#This Row],[Gender]]="Female","Feminino","Masculino")</f>
        <v>Masculino</v>
      </c>
      <c r="AK788" t="str" cm="1">
        <f t="array" ref="AK788">_xlfn.IFS(H788="Life Sciences", "Ciências da Vida", H788="Other", "Outro", H788="Medical", "Médico", H788="Technical Degree", "Curso Técnico", H788="Marketing", "Marketing", H788="Human Resources", "Recursos Humanos")</f>
        <v>Ciências da Vida</v>
      </c>
      <c r="AL788" t="str" cm="1">
        <f t="array" ref="AL7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89" spans="1:38" x14ac:dyDescent="0.25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IF(tbRh[[#This Row],[Gender]]="Female","Feminino","Masculino")</f>
        <v>Masculino</v>
      </c>
      <c r="AK789" t="str" cm="1">
        <f t="array" ref="AK789">_xlfn.IFS(H789="Life Sciences", "Ciências da Vida", H789="Other", "Outro", H789="Medical", "Médico", H789="Technical Degree", "Curso Técnico", H789="Marketing", "Marketing", H789="Human Resources", "Recursos Humanos")</f>
        <v>Ciências da Vida</v>
      </c>
      <c r="AL789" t="str" cm="1">
        <f t="array" ref="AL7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0" spans="1:38" x14ac:dyDescent="0.25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IF(tbRh[[#This Row],[Gender]]="Female","Feminino","Masculino")</f>
        <v>Feminino</v>
      </c>
      <c r="AK790" t="str" cm="1">
        <f t="array" ref="AK790">_xlfn.IFS(H790="Life Sciences", "Ciências da Vida", H790="Other", "Outro", H790="Medical", "Médico", H790="Technical Degree", "Curso Técnico", H790="Marketing", "Marketing", H790="Human Resources", "Recursos Humanos")</f>
        <v>Outro</v>
      </c>
      <c r="AL790" t="str" cm="1">
        <f t="array" ref="AL7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1" spans="1:38" x14ac:dyDescent="0.25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IF(tbRh[[#This Row],[Gender]]="Female","Feminino","Masculino")</f>
        <v>Masculino</v>
      </c>
      <c r="AK791" t="str" cm="1">
        <f t="array" ref="AK791">_xlfn.IFS(H791="Life Sciences", "Ciências da Vida", H791="Other", "Outro", H791="Medical", "Médico", H791="Technical Degree", "Curso Técnico", H791="Marketing", "Marketing", H791="Human Resources", "Recursos Humanos")</f>
        <v>Médico</v>
      </c>
      <c r="AL791" t="str" cm="1">
        <f t="array" ref="AL79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792" spans="1:38" x14ac:dyDescent="0.25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IF(tbRh[[#This Row],[Gender]]="Female","Feminino","Masculino")</f>
        <v>Masculino</v>
      </c>
      <c r="AK792" t="str" cm="1">
        <f t="array" ref="AK792">_xlfn.IFS(H792="Life Sciences", "Ciências da Vida", H792="Other", "Outro", H792="Medical", "Médico", H792="Technical Degree", "Curso Técnico", H792="Marketing", "Marketing", H792="Human Resources", "Recursos Humanos")</f>
        <v>Ciências da Vida</v>
      </c>
      <c r="AL792" t="str" cm="1">
        <f t="array" ref="AL7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3" spans="1:38" x14ac:dyDescent="0.25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IF(tbRh[[#This Row],[Gender]]="Female","Feminino","Masculino")</f>
        <v>Masculino</v>
      </c>
      <c r="AK793" t="str" cm="1">
        <f t="array" ref="AK793">_xlfn.IFS(H793="Life Sciences", "Ciências da Vida", H793="Other", "Outro", H793="Medical", "Médico", H793="Technical Degree", "Curso Técnico", H793="Marketing", "Marketing", H793="Human Resources", "Recursos Humanos")</f>
        <v>Curso Técnico</v>
      </c>
      <c r="AL793" t="str" cm="1">
        <f t="array" ref="AL79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94" spans="1:38" x14ac:dyDescent="0.25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IF(tbRh[[#This Row],[Gender]]="Female","Feminino","Masculino")</f>
        <v>Feminino</v>
      </c>
      <c r="AK794" t="str" cm="1">
        <f t="array" ref="AK794">_xlfn.IFS(H794="Life Sciences", "Ciências da Vida", H794="Other", "Outro", H794="Medical", "Médico", H794="Technical Degree", "Curso Técnico", H794="Marketing", "Marketing", H794="Human Resources", "Recursos Humanos")</f>
        <v>Médico</v>
      </c>
      <c r="AL794" t="str" cm="1">
        <f t="array" ref="AL7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5" spans="1:38" x14ac:dyDescent="0.25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IF(tbRh[[#This Row],[Gender]]="Female","Feminino","Masculino")</f>
        <v>Masculino</v>
      </c>
      <c r="AK795" t="str" cm="1">
        <f t="array" ref="AK795">_xlfn.IFS(H795="Life Sciences", "Ciências da Vida", H795="Other", "Outro", H795="Medical", "Médico", H795="Technical Degree", "Curso Técnico", H795="Marketing", "Marketing", H795="Human Resources", "Recursos Humanos")</f>
        <v>Ciências da Vida</v>
      </c>
      <c r="AL795" t="str" cm="1">
        <f t="array" ref="AL7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6" spans="1:38" x14ac:dyDescent="0.25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IF(tbRh[[#This Row],[Gender]]="Female","Feminino","Masculino")</f>
        <v>Masculino</v>
      </c>
      <c r="AK796" t="str" cm="1">
        <f t="array" ref="AK796">_xlfn.IFS(H796="Life Sciences", "Ciências da Vida", H796="Other", "Outro", H796="Medical", "Médico", H796="Technical Degree", "Curso Técnico", H796="Marketing", "Marketing", H796="Human Resources", "Recursos Humanos")</f>
        <v>Ciências da Vida</v>
      </c>
      <c r="AL796" t="str" cm="1">
        <f t="array" ref="AL7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7" spans="1:38" x14ac:dyDescent="0.25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IF(tbRh[[#This Row],[Gender]]="Female","Feminino","Masculino")</f>
        <v>Feminino</v>
      </c>
      <c r="AK797" t="str" cm="1">
        <f t="array" ref="AK797">_xlfn.IFS(H797="Life Sciences", "Ciências da Vida", H797="Other", "Outro", H797="Medical", "Médico", H797="Technical Degree", "Curso Técnico", H797="Marketing", "Marketing", H797="Human Resources", "Recursos Humanos")</f>
        <v>Ciências da Vida</v>
      </c>
      <c r="AL797" t="str" cm="1">
        <f t="array" ref="AL79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798" spans="1:38" x14ac:dyDescent="0.25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IF(tbRh[[#This Row],[Gender]]="Female","Feminino","Masculino")</f>
        <v>Masculino</v>
      </c>
      <c r="AK798" t="str" cm="1">
        <f t="array" ref="AK798">_xlfn.IFS(H798="Life Sciences", "Ciências da Vida", H798="Other", "Outro", H798="Medical", "Médico", H798="Technical Degree", "Curso Técnico", H798="Marketing", "Marketing", H798="Human Resources", "Recursos Humanos")</f>
        <v>Curso Técnico</v>
      </c>
      <c r="AL798" t="str" cm="1">
        <f t="array" ref="AL7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799" spans="1:38" x14ac:dyDescent="0.25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IF(tbRh[[#This Row],[Gender]]="Female","Feminino","Masculino")</f>
        <v>Masculino</v>
      </c>
      <c r="AK799" t="str" cm="1">
        <f t="array" ref="AK799">_xlfn.IFS(H799="Life Sciences", "Ciências da Vida", H799="Other", "Outro", H799="Medical", "Médico", H799="Technical Degree", "Curso Técnico", H799="Marketing", "Marketing", H799="Human Resources", "Recursos Humanos")</f>
        <v>Médico</v>
      </c>
      <c r="AL799" t="str" cm="1">
        <f t="array" ref="AL7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0" spans="1:38" x14ac:dyDescent="0.25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IF(tbRh[[#This Row],[Gender]]="Female","Feminino","Masculino")</f>
        <v>Masculino</v>
      </c>
      <c r="AK800" t="str" cm="1">
        <f t="array" ref="AK800">_xlfn.IFS(H800="Life Sciences", "Ciências da Vida", H800="Other", "Outro", H800="Medical", "Médico", H800="Technical Degree", "Curso Técnico", H800="Marketing", "Marketing", H800="Human Resources", "Recursos Humanos")</f>
        <v>Médico</v>
      </c>
      <c r="AL800" t="str" cm="1">
        <f t="array" ref="AL8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1" spans="1:38" x14ac:dyDescent="0.25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IF(tbRh[[#This Row],[Gender]]="Female","Feminino","Masculino")</f>
        <v>Masculino</v>
      </c>
      <c r="AK801" t="str" cm="1">
        <f t="array" ref="AK801">_xlfn.IFS(H801="Life Sciences", "Ciências da Vida", H801="Other", "Outro", H801="Medical", "Médico", H801="Technical Degree", "Curso Técnico", H801="Marketing", "Marketing", H801="Human Resources", "Recursos Humanos")</f>
        <v>Médico</v>
      </c>
      <c r="AL801" t="str" cm="1">
        <f t="array" ref="AL8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2" spans="1:38" x14ac:dyDescent="0.25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IF(tbRh[[#This Row],[Gender]]="Female","Feminino","Masculino")</f>
        <v>Masculino</v>
      </c>
      <c r="AK802" t="str" cm="1">
        <f t="array" ref="AK802">_xlfn.IFS(H802="Life Sciences", "Ciências da Vida", H802="Other", "Outro", H802="Medical", "Médico", H802="Technical Degree", "Curso Técnico", H802="Marketing", "Marketing", H802="Human Resources", "Recursos Humanos")</f>
        <v>Médico</v>
      </c>
      <c r="AL802" t="str" cm="1">
        <f t="array" ref="AL8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3" spans="1:38" x14ac:dyDescent="0.25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IF(tbRh[[#This Row],[Gender]]="Female","Feminino","Masculino")</f>
        <v>Masculino</v>
      </c>
      <c r="AK803" t="str" cm="1">
        <f t="array" ref="AK803">_xlfn.IFS(H803="Life Sciences", "Ciências da Vida", H803="Other", "Outro", H803="Medical", "Médico", H803="Technical Degree", "Curso Técnico", H803="Marketing", "Marketing", H803="Human Resources", "Recursos Humanos")</f>
        <v>Outro</v>
      </c>
      <c r="AL803" t="str" cm="1">
        <f t="array" ref="AL80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04" spans="1:38" x14ac:dyDescent="0.25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IF(tbRh[[#This Row],[Gender]]="Female","Feminino","Masculino")</f>
        <v>Feminino</v>
      </c>
      <c r="AK804" t="str" cm="1">
        <f t="array" ref="AK804">_xlfn.IFS(H804="Life Sciences", "Ciências da Vida", H804="Other", "Outro", H804="Medical", "Médico", H804="Technical Degree", "Curso Técnico", H804="Marketing", "Marketing", H804="Human Resources", "Recursos Humanos")</f>
        <v>Ciências da Vida</v>
      </c>
      <c r="AL804" t="str" cm="1">
        <f t="array" ref="AL80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05" spans="1:38" x14ac:dyDescent="0.25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IF(tbRh[[#This Row],[Gender]]="Female","Feminino","Masculino")</f>
        <v>Masculino</v>
      </c>
      <c r="AK805" t="str" cm="1">
        <f t="array" ref="AK805">_xlfn.IFS(H805="Life Sciences", "Ciências da Vida", H805="Other", "Outro", H805="Medical", "Médico", H805="Technical Degree", "Curso Técnico", H805="Marketing", "Marketing", H805="Human Resources", "Recursos Humanos")</f>
        <v>Ciências da Vida</v>
      </c>
      <c r="AL805" t="str" cm="1">
        <f t="array" ref="AL8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6" spans="1:38" x14ac:dyDescent="0.25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IF(tbRh[[#This Row],[Gender]]="Female","Feminino","Masculino")</f>
        <v>Masculino</v>
      </c>
      <c r="AK806" t="str" cm="1">
        <f t="array" ref="AK806">_xlfn.IFS(H806="Life Sciences", "Ciências da Vida", H806="Other", "Outro", H806="Medical", "Médico", H806="Technical Degree", "Curso Técnico", H806="Marketing", "Marketing", H806="Human Resources", "Recursos Humanos")</f>
        <v>Médico</v>
      </c>
      <c r="AL806" t="str" cm="1">
        <f t="array" ref="AL8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7" spans="1:38" x14ac:dyDescent="0.25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IF(tbRh[[#This Row],[Gender]]="Female","Feminino","Masculino")</f>
        <v>Feminino</v>
      </c>
      <c r="AK807" t="str" cm="1">
        <f t="array" ref="AK807">_xlfn.IFS(H807="Life Sciences", "Ciências da Vida", H807="Other", "Outro", H807="Medical", "Médico", H807="Technical Degree", "Curso Técnico", H807="Marketing", "Marketing", H807="Human Resources", "Recursos Humanos")</f>
        <v>Ciências da Vida</v>
      </c>
      <c r="AL807" t="str" cm="1">
        <f t="array" ref="AL80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08" spans="1:38" x14ac:dyDescent="0.25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IF(tbRh[[#This Row],[Gender]]="Female","Feminino","Masculino")</f>
        <v>Masculino</v>
      </c>
      <c r="AK808" t="str" cm="1">
        <f t="array" ref="AK808">_xlfn.IFS(H808="Life Sciences", "Ciências da Vida", H808="Other", "Outro", H808="Medical", "Médico", H808="Technical Degree", "Curso Técnico", H808="Marketing", "Marketing", H808="Human Resources", "Recursos Humanos")</f>
        <v>Ciências da Vida</v>
      </c>
      <c r="AL808" t="str" cm="1">
        <f t="array" ref="AL8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09" spans="1:38" x14ac:dyDescent="0.25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IF(tbRh[[#This Row],[Gender]]="Female","Feminino","Masculino")</f>
        <v>Masculino</v>
      </c>
      <c r="AK809" t="str" cm="1">
        <f t="array" ref="AK809">_xlfn.IFS(H809="Life Sciences", "Ciências da Vida", H809="Other", "Outro", H809="Medical", "Médico", H809="Technical Degree", "Curso Técnico", H809="Marketing", "Marketing", H809="Human Resources", "Recursos Humanos")</f>
        <v>Marketing</v>
      </c>
      <c r="AL809" t="str" cm="1">
        <f t="array" ref="AL80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10" spans="1:38" x14ac:dyDescent="0.25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IF(tbRh[[#This Row],[Gender]]="Female","Feminino","Masculino")</f>
        <v>Feminino</v>
      </c>
      <c r="AK810" t="str" cm="1">
        <f t="array" ref="AK810">_xlfn.IFS(H810="Life Sciences", "Ciências da Vida", H810="Other", "Outro", H810="Medical", "Médico", H810="Technical Degree", "Curso Técnico", H810="Marketing", "Marketing", H810="Human Resources", "Recursos Humanos")</f>
        <v>Ciências da Vida</v>
      </c>
      <c r="AL810" t="str" cm="1">
        <f t="array" ref="AL8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1" spans="1:38" x14ac:dyDescent="0.25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IF(tbRh[[#This Row],[Gender]]="Female","Feminino","Masculino")</f>
        <v>Feminino</v>
      </c>
      <c r="AK811" t="str" cm="1">
        <f t="array" ref="AK811">_xlfn.IFS(H811="Life Sciences", "Ciências da Vida", H811="Other", "Outro", H811="Medical", "Médico", H811="Technical Degree", "Curso Técnico", H811="Marketing", "Marketing", H811="Human Resources", "Recursos Humanos")</f>
        <v>Médico</v>
      </c>
      <c r="AL811" t="str" cm="1">
        <f t="array" ref="AL8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2" spans="1:38" x14ac:dyDescent="0.25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IF(tbRh[[#This Row],[Gender]]="Female","Feminino","Masculino")</f>
        <v>Masculino</v>
      </c>
      <c r="AK812" t="str" cm="1">
        <f t="array" ref="AK812">_xlfn.IFS(H812="Life Sciences", "Ciências da Vida", H812="Other", "Outro", H812="Medical", "Médico", H812="Technical Degree", "Curso Técnico", H812="Marketing", "Marketing", H812="Human Resources", "Recursos Humanos")</f>
        <v>Marketing</v>
      </c>
      <c r="AL812" t="str" cm="1">
        <f t="array" ref="AL81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13" spans="1:38" x14ac:dyDescent="0.25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IF(tbRh[[#This Row],[Gender]]="Female","Feminino","Masculino")</f>
        <v>Masculino</v>
      </c>
      <c r="AK813" t="str" cm="1">
        <f t="array" ref="AK813">_xlfn.IFS(H813="Life Sciences", "Ciências da Vida", H813="Other", "Outro", H813="Medical", "Médico", H813="Technical Degree", "Curso Técnico", H813="Marketing", "Marketing", H813="Human Resources", "Recursos Humanos")</f>
        <v>Marketing</v>
      </c>
      <c r="AL813" t="str" cm="1">
        <f t="array" ref="AL81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14" spans="1:38" x14ac:dyDescent="0.25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IF(tbRh[[#This Row],[Gender]]="Female","Feminino","Masculino")</f>
        <v>Feminino</v>
      </c>
      <c r="AK814" t="str" cm="1">
        <f t="array" ref="AK814">_xlfn.IFS(H814="Life Sciences", "Ciências da Vida", H814="Other", "Outro", H814="Medical", "Médico", H814="Technical Degree", "Curso Técnico", H814="Marketing", "Marketing", H814="Human Resources", "Recursos Humanos")</f>
        <v>Ciências da Vida</v>
      </c>
      <c r="AL814" t="str" cm="1">
        <f t="array" ref="AL8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5" spans="1:38" x14ac:dyDescent="0.25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IF(tbRh[[#This Row],[Gender]]="Female","Feminino","Masculino")</f>
        <v>Masculino</v>
      </c>
      <c r="AK815" t="str" cm="1">
        <f t="array" ref="AK815">_xlfn.IFS(H815="Life Sciences", "Ciências da Vida", H815="Other", "Outro", H815="Medical", "Médico", H815="Technical Degree", "Curso Técnico", H815="Marketing", "Marketing", H815="Human Resources", "Recursos Humanos")</f>
        <v>Ciências da Vida</v>
      </c>
      <c r="AL815" t="str" cm="1">
        <f t="array" ref="AL8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6" spans="1:38" x14ac:dyDescent="0.25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IF(tbRh[[#This Row],[Gender]]="Female","Feminino","Masculino")</f>
        <v>Masculino</v>
      </c>
      <c r="AK816" t="str" cm="1">
        <f t="array" ref="AK816">_xlfn.IFS(H816="Life Sciences", "Ciências da Vida", H816="Other", "Outro", H816="Medical", "Médico", H816="Technical Degree", "Curso Técnico", H816="Marketing", "Marketing", H816="Human Resources", "Recursos Humanos")</f>
        <v>Médico</v>
      </c>
      <c r="AL816" t="str" cm="1">
        <f t="array" ref="AL8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7" spans="1:38" x14ac:dyDescent="0.25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IF(tbRh[[#This Row],[Gender]]="Female","Feminino","Masculino")</f>
        <v>Feminino</v>
      </c>
      <c r="AK817" t="str" cm="1">
        <f t="array" ref="AK817">_xlfn.IFS(H817="Life Sciences", "Ciências da Vida", H817="Other", "Outro", H817="Medical", "Médico", H817="Technical Degree", "Curso Técnico", H817="Marketing", "Marketing", H817="Human Resources", "Recursos Humanos")</f>
        <v>Curso Técnico</v>
      </c>
      <c r="AL817" t="str" cm="1">
        <f t="array" ref="AL8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8" spans="1:38" x14ac:dyDescent="0.25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IF(tbRh[[#This Row],[Gender]]="Female","Feminino","Masculino")</f>
        <v>Masculino</v>
      </c>
      <c r="AK818" t="str" cm="1">
        <f t="array" ref="AK818">_xlfn.IFS(H818="Life Sciences", "Ciências da Vida", H818="Other", "Outro", H818="Medical", "Médico", H818="Technical Degree", "Curso Técnico", H818="Marketing", "Marketing", H818="Human Resources", "Recursos Humanos")</f>
        <v>Ciências da Vida</v>
      </c>
      <c r="AL818" t="str" cm="1">
        <f t="array" ref="AL8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19" spans="1:38" x14ac:dyDescent="0.25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IF(tbRh[[#This Row],[Gender]]="Female","Feminino","Masculino")</f>
        <v>Masculino</v>
      </c>
      <c r="AK819" t="str" cm="1">
        <f t="array" ref="AK819">_xlfn.IFS(H819="Life Sciences", "Ciências da Vida", H819="Other", "Outro", H819="Medical", "Médico", H819="Technical Degree", "Curso Técnico", H819="Marketing", "Marketing", H819="Human Resources", "Recursos Humanos")</f>
        <v>Ciências da Vida</v>
      </c>
      <c r="AL819" t="str" cm="1">
        <f t="array" ref="AL8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20" spans="1:38" x14ac:dyDescent="0.25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IF(tbRh[[#This Row],[Gender]]="Female","Feminino","Masculino")</f>
        <v>Masculino</v>
      </c>
      <c r="AK820" t="str" cm="1">
        <f t="array" ref="AK820">_xlfn.IFS(H820="Life Sciences", "Ciências da Vida", H820="Other", "Outro", H820="Medical", "Médico", H820="Technical Degree", "Curso Técnico", H820="Marketing", "Marketing", H820="Human Resources", "Recursos Humanos")</f>
        <v>Ciências da Vida</v>
      </c>
      <c r="AL820" t="str" cm="1">
        <f t="array" ref="AL82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21" spans="1:38" x14ac:dyDescent="0.25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IF(tbRh[[#This Row],[Gender]]="Female","Feminino","Masculino")</f>
        <v>Masculino</v>
      </c>
      <c r="AK821" t="str" cm="1">
        <f t="array" ref="AK821">_xlfn.IFS(H821="Life Sciences", "Ciências da Vida", H821="Other", "Outro", H821="Medical", "Médico", H821="Technical Degree", "Curso Técnico", H821="Marketing", "Marketing", H821="Human Resources", "Recursos Humanos")</f>
        <v>Ciências da Vida</v>
      </c>
      <c r="AL821" t="str" cm="1">
        <f t="array" ref="AL8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22" spans="1:38" x14ac:dyDescent="0.25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IF(tbRh[[#This Row],[Gender]]="Female","Feminino","Masculino")</f>
        <v>Masculino</v>
      </c>
      <c r="AK822" t="str" cm="1">
        <f t="array" ref="AK822">_xlfn.IFS(H822="Life Sciences", "Ciências da Vida", H822="Other", "Outro", H822="Medical", "Médico", H822="Technical Degree", "Curso Técnico", H822="Marketing", "Marketing", H822="Human Resources", "Recursos Humanos")</f>
        <v>Marketing</v>
      </c>
      <c r="AL822" t="str" cm="1">
        <f t="array" ref="AL82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23" spans="1:38" x14ac:dyDescent="0.25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IF(tbRh[[#This Row],[Gender]]="Female","Feminino","Masculino")</f>
        <v>Masculino</v>
      </c>
      <c r="AK823" t="str" cm="1">
        <f t="array" ref="AK823">_xlfn.IFS(H823="Life Sciences", "Ciências da Vida", H823="Other", "Outro", H823="Medical", "Médico", H823="Technical Degree", "Curso Técnico", H823="Marketing", "Marketing", H823="Human Resources", "Recursos Humanos")</f>
        <v>Curso Técnico</v>
      </c>
      <c r="AL823" t="str" cm="1">
        <f t="array" ref="AL8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24" spans="1:38" x14ac:dyDescent="0.25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IF(tbRh[[#This Row],[Gender]]="Female","Feminino","Masculino")</f>
        <v>Masculino</v>
      </c>
      <c r="AK824" t="str" cm="1">
        <f t="array" ref="AK824">_xlfn.IFS(H824="Life Sciences", "Ciências da Vida", H824="Other", "Outro", H824="Medical", "Médico", H824="Technical Degree", "Curso Técnico", H824="Marketing", "Marketing", H824="Human Resources", "Recursos Humanos")</f>
        <v>Ciências da Vida</v>
      </c>
      <c r="AL824" t="str" cm="1">
        <f t="array" ref="AL8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25" spans="1:38" x14ac:dyDescent="0.25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IF(tbRh[[#This Row],[Gender]]="Female","Feminino","Masculino")</f>
        <v>Feminino</v>
      </c>
      <c r="AK825" t="str" cm="1">
        <f t="array" ref="AK825">_xlfn.IFS(H825="Life Sciences", "Ciências da Vida", H825="Other", "Outro", H825="Medical", "Médico", H825="Technical Degree", "Curso Técnico", H825="Marketing", "Marketing", H825="Human Resources", "Recursos Humanos")</f>
        <v>Ciências da Vida</v>
      </c>
      <c r="AL825" t="str" cm="1">
        <f t="array" ref="AL8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26" spans="1:38" x14ac:dyDescent="0.25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IF(tbRh[[#This Row],[Gender]]="Female","Feminino","Masculino")</f>
        <v>Masculino</v>
      </c>
      <c r="AK826" t="str" cm="1">
        <f t="array" ref="AK826">_xlfn.IFS(H826="Life Sciences", "Ciências da Vida", H826="Other", "Outro", H826="Medical", "Médico", H826="Technical Degree", "Curso Técnico", H826="Marketing", "Marketing", H826="Human Resources", "Recursos Humanos")</f>
        <v>Médico</v>
      </c>
      <c r="AL826" t="str" cm="1">
        <f t="array" ref="AL8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27" spans="1:38" x14ac:dyDescent="0.25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IF(tbRh[[#This Row],[Gender]]="Female","Feminino","Masculino")</f>
        <v>Masculino</v>
      </c>
      <c r="AK827" t="str" cm="1">
        <f t="array" ref="AK827">_xlfn.IFS(H827="Life Sciences", "Ciências da Vida", H827="Other", "Outro", H827="Medical", "Médico", H827="Technical Degree", "Curso Técnico", H827="Marketing", "Marketing", H827="Human Resources", "Recursos Humanos")</f>
        <v>Médico</v>
      </c>
      <c r="AL827" t="str" cm="1">
        <f t="array" ref="AL8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28" spans="1:38" x14ac:dyDescent="0.25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IF(tbRh[[#This Row],[Gender]]="Female","Feminino","Masculino")</f>
        <v>Masculino</v>
      </c>
      <c r="AK828" t="str" cm="1">
        <f t="array" ref="AK828">_xlfn.IFS(H828="Life Sciences", "Ciências da Vida", H828="Other", "Outro", H828="Medical", "Médico", H828="Technical Degree", "Curso Técnico", H828="Marketing", "Marketing", H828="Human Resources", "Recursos Humanos")</f>
        <v>Recursos Humanos</v>
      </c>
      <c r="AL828" t="str" cm="1">
        <f t="array" ref="AL828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829" spans="1:38" x14ac:dyDescent="0.25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IF(tbRh[[#This Row],[Gender]]="Female","Feminino","Masculino")</f>
        <v>Masculino</v>
      </c>
      <c r="AK829" t="str" cm="1">
        <f t="array" ref="AK829">_xlfn.IFS(H829="Life Sciences", "Ciências da Vida", H829="Other", "Outro", H829="Medical", "Médico", H829="Technical Degree", "Curso Técnico", H829="Marketing", "Marketing", H829="Human Resources", "Recursos Humanos")</f>
        <v>Ciências da Vida</v>
      </c>
      <c r="AL829" t="str" cm="1">
        <f t="array" ref="AL8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0" spans="1:38" x14ac:dyDescent="0.25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IF(tbRh[[#This Row],[Gender]]="Female","Feminino","Masculino")</f>
        <v>Masculino</v>
      </c>
      <c r="AK830" t="str" cm="1">
        <f t="array" ref="AK830">_xlfn.IFS(H830="Life Sciences", "Ciências da Vida", H830="Other", "Outro", H830="Medical", "Médico", H830="Technical Degree", "Curso Técnico", H830="Marketing", "Marketing", H830="Human Resources", "Recursos Humanos")</f>
        <v>Médico</v>
      </c>
      <c r="AL830" t="str" cm="1">
        <f t="array" ref="AL8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1" spans="1:38" x14ac:dyDescent="0.25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IF(tbRh[[#This Row],[Gender]]="Female","Feminino","Masculino")</f>
        <v>Feminino</v>
      </c>
      <c r="AK831" t="str" cm="1">
        <f t="array" ref="AK831">_xlfn.IFS(H831="Life Sciences", "Ciências da Vida", H831="Other", "Outro", H831="Medical", "Médico", H831="Technical Degree", "Curso Técnico", H831="Marketing", "Marketing", H831="Human Resources", "Recursos Humanos")</f>
        <v>Marketing</v>
      </c>
      <c r="AL831" t="str" cm="1">
        <f t="array" ref="AL83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32" spans="1:38" x14ac:dyDescent="0.25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IF(tbRh[[#This Row],[Gender]]="Female","Feminino","Masculino")</f>
        <v>Masculino</v>
      </c>
      <c r="AK832" t="str" cm="1">
        <f t="array" ref="AK832">_xlfn.IFS(H832="Life Sciences", "Ciências da Vida", H832="Other", "Outro", H832="Medical", "Médico", H832="Technical Degree", "Curso Técnico", H832="Marketing", "Marketing", H832="Human Resources", "Recursos Humanos")</f>
        <v>Ciências da Vida</v>
      </c>
      <c r="AL832" t="str" cm="1">
        <f t="array" ref="AL8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3" spans="1:38" x14ac:dyDescent="0.25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IF(tbRh[[#This Row],[Gender]]="Female","Feminino","Masculino")</f>
        <v>Masculino</v>
      </c>
      <c r="AK833" t="str" cm="1">
        <f t="array" ref="AK833">_xlfn.IFS(H833="Life Sciences", "Ciências da Vida", H833="Other", "Outro", H833="Medical", "Médico", H833="Technical Degree", "Curso Técnico", H833="Marketing", "Marketing", H833="Human Resources", "Recursos Humanos")</f>
        <v>Médico</v>
      </c>
      <c r="AL833" t="str" cm="1">
        <f t="array" ref="AL8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4" spans="1:38" x14ac:dyDescent="0.25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IF(tbRh[[#This Row],[Gender]]="Female","Feminino","Masculino")</f>
        <v>Feminino</v>
      </c>
      <c r="AK834" t="str" cm="1">
        <f t="array" ref="AK834">_xlfn.IFS(H834="Life Sciences", "Ciências da Vida", H834="Other", "Outro", H834="Medical", "Médico", H834="Technical Degree", "Curso Técnico", H834="Marketing", "Marketing", H834="Human Resources", "Recursos Humanos")</f>
        <v>Médico</v>
      </c>
      <c r="AL834" t="str" cm="1">
        <f t="array" ref="AL8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5" spans="1:38" x14ac:dyDescent="0.25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IF(tbRh[[#This Row],[Gender]]="Female","Feminino","Masculino")</f>
        <v>Masculino</v>
      </c>
      <c r="AK835" t="str" cm="1">
        <f t="array" ref="AK835">_xlfn.IFS(H835="Life Sciences", "Ciências da Vida", H835="Other", "Outro", H835="Medical", "Médico", H835="Technical Degree", "Curso Técnico", H835="Marketing", "Marketing", H835="Human Resources", "Recursos Humanos")</f>
        <v>Ciências da Vida</v>
      </c>
      <c r="AL835" t="str" cm="1">
        <f t="array" ref="AL8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36" spans="1:38" x14ac:dyDescent="0.25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IF(tbRh[[#This Row],[Gender]]="Female","Feminino","Masculino")</f>
        <v>Feminino</v>
      </c>
      <c r="AK836" t="str" cm="1">
        <f t="array" ref="AK836">_xlfn.IFS(H836="Life Sciences", "Ciências da Vida", H836="Other", "Outro", H836="Medical", "Médico", H836="Technical Degree", "Curso Técnico", H836="Marketing", "Marketing", H836="Human Resources", "Recursos Humanos")</f>
        <v>Ciências da Vida</v>
      </c>
      <c r="AL836" t="str" cm="1">
        <f t="array" ref="AL83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37" spans="1:38" x14ac:dyDescent="0.25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IF(tbRh[[#This Row],[Gender]]="Female","Feminino","Masculino")</f>
        <v>Masculino</v>
      </c>
      <c r="AK837" t="str" cm="1">
        <f t="array" ref="AK837">_xlfn.IFS(H837="Life Sciences", "Ciências da Vida", H837="Other", "Outro", H837="Medical", "Médico", H837="Technical Degree", "Curso Técnico", H837="Marketing", "Marketing", H837="Human Resources", "Recursos Humanos")</f>
        <v>Curso Técnico</v>
      </c>
      <c r="AL837" t="str" cm="1">
        <f t="array" ref="AL83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838" spans="1:38" x14ac:dyDescent="0.25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IF(tbRh[[#This Row],[Gender]]="Female","Feminino","Masculino")</f>
        <v>Feminino</v>
      </c>
      <c r="AK838" t="str" cm="1">
        <f t="array" ref="AK838">_xlfn.IFS(H838="Life Sciences", "Ciências da Vida", H838="Other", "Outro", H838="Medical", "Médico", H838="Technical Degree", "Curso Técnico", H838="Marketing", "Marketing", H838="Human Resources", "Recursos Humanos")</f>
        <v>Ciências da Vida</v>
      </c>
      <c r="AL838" t="str" cm="1">
        <f t="array" ref="AL83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39" spans="1:38" x14ac:dyDescent="0.25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IF(tbRh[[#This Row],[Gender]]="Female","Feminino","Masculino")</f>
        <v>Feminino</v>
      </c>
      <c r="AK839" t="str" cm="1">
        <f t="array" ref="AK839">_xlfn.IFS(H839="Life Sciences", "Ciências da Vida", H839="Other", "Outro", H839="Medical", "Médico", H839="Technical Degree", "Curso Técnico", H839="Marketing", "Marketing", H839="Human Resources", "Recursos Humanos")</f>
        <v>Médico</v>
      </c>
      <c r="AL839" t="str" cm="1">
        <f t="array" ref="AL8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0" spans="1:38" x14ac:dyDescent="0.25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IF(tbRh[[#This Row],[Gender]]="Female","Feminino","Masculino")</f>
        <v>Masculino</v>
      </c>
      <c r="AK840" t="str" cm="1">
        <f t="array" ref="AK840">_xlfn.IFS(H840="Life Sciences", "Ciências da Vida", H840="Other", "Outro", H840="Medical", "Médico", H840="Technical Degree", "Curso Técnico", H840="Marketing", "Marketing", H840="Human Resources", "Recursos Humanos")</f>
        <v>Ciências da Vida</v>
      </c>
      <c r="AL840" t="str" cm="1">
        <f t="array" ref="AL8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41" spans="1:38" x14ac:dyDescent="0.25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IF(tbRh[[#This Row],[Gender]]="Female","Feminino","Masculino")</f>
        <v>Masculino</v>
      </c>
      <c r="AK841" t="str" cm="1">
        <f t="array" ref="AK841">_xlfn.IFS(H841="Life Sciences", "Ciências da Vida", H841="Other", "Outro", H841="Medical", "Médico", H841="Technical Degree", "Curso Técnico", H841="Marketing", "Marketing", H841="Human Resources", "Recursos Humanos")</f>
        <v>Marketing</v>
      </c>
      <c r="AL841" t="str" cm="1">
        <f t="array" ref="AL84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42" spans="1:38" x14ac:dyDescent="0.25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IF(tbRh[[#This Row],[Gender]]="Female","Feminino","Masculino")</f>
        <v>Masculino</v>
      </c>
      <c r="AK842" t="str" cm="1">
        <f t="array" ref="AK842">_xlfn.IFS(H842="Life Sciences", "Ciências da Vida", H842="Other", "Outro", H842="Medical", "Médico", H842="Technical Degree", "Curso Técnico", H842="Marketing", "Marketing", H842="Human Resources", "Recursos Humanos")</f>
        <v>Médico</v>
      </c>
      <c r="AL842" t="str" cm="1">
        <f t="array" ref="AL8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3" spans="1:38" x14ac:dyDescent="0.25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IF(tbRh[[#This Row],[Gender]]="Female","Feminino","Masculino")</f>
        <v>Masculino</v>
      </c>
      <c r="AK843" t="str" cm="1">
        <f t="array" ref="AK843">_xlfn.IFS(H843="Life Sciences", "Ciências da Vida", H843="Other", "Outro", H843="Medical", "Médico", H843="Technical Degree", "Curso Técnico", H843="Marketing", "Marketing", H843="Human Resources", "Recursos Humanos")</f>
        <v>Médico</v>
      </c>
      <c r="AL843" t="str" cm="1">
        <f t="array" ref="AL8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4" spans="1:38" x14ac:dyDescent="0.25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IF(tbRh[[#This Row],[Gender]]="Female","Feminino","Masculino")</f>
        <v>Feminino</v>
      </c>
      <c r="AK844" t="str" cm="1">
        <f t="array" ref="AK844">_xlfn.IFS(H844="Life Sciences", "Ciências da Vida", H844="Other", "Outro", H844="Medical", "Médico", H844="Technical Degree", "Curso Técnico", H844="Marketing", "Marketing", H844="Human Resources", "Recursos Humanos")</f>
        <v>Ciências da Vida</v>
      </c>
      <c r="AL844" t="str" cm="1">
        <f t="array" ref="AL8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5" spans="1:38" x14ac:dyDescent="0.25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IF(tbRh[[#This Row],[Gender]]="Female","Feminino","Masculino")</f>
        <v>Masculino</v>
      </c>
      <c r="AK845" t="str" cm="1">
        <f t="array" ref="AK845">_xlfn.IFS(H845="Life Sciences", "Ciências da Vida", H845="Other", "Outro", H845="Medical", "Médico", H845="Technical Degree", "Curso Técnico", H845="Marketing", "Marketing", H845="Human Resources", "Recursos Humanos")</f>
        <v>Médico</v>
      </c>
      <c r="AL845" t="str" cm="1">
        <f t="array" ref="AL8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6" spans="1:38" x14ac:dyDescent="0.25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IF(tbRh[[#This Row],[Gender]]="Female","Feminino","Masculino")</f>
        <v>Masculino</v>
      </c>
      <c r="AK846" t="str" cm="1">
        <f t="array" ref="AK846">_xlfn.IFS(H846="Life Sciences", "Ciências da Vida", H846="Other", "Outro", H846="Medical", "Médico", H846="Technical Degree", "Curso Técnico", H846="Marketing", "Marketing", H846="Human Resources", "Recursos Humanos")</f>
        <v>Marketing</v>
      </c>
      <c r="AL846" t="str" cm="1">
        <f t="array" ref="AL84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47" spans="1:38" x14ac:dyDescent="0.25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IF(tbRh[[#This Row],[Gender]]="Female","Feminino","Masculino")</f>
        <v>Feminino</v>
      </c>
      <c r="AK847" t="str" cm="1">
        <f t="array" ref="AK847">_xlfn.IFS(H847="Life Sciences", "Ciências da Vida", H847="Other", "Outro", H847="Medical", "Médico", H847="Technical Degree", "Curso Técnico", H847="Marketing", "Marketing", H847="Human Resources", "Recursos Humanos")</f>
        <v>Médico</v>
      </c>
      <c r="AL847" t="str" cm="1">
        <f t="array" ref="AL8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8" spans="1:38" x14ac:dyDescent="0.25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IF(tbRh[[#This Row],[Gender]]="Female","Feminino","Masculino")</f>
        <v>Masculino</v>
      </c>
      <c r="AK848" t="str" cm="1">
        <f t="array" ref="AK848">_xlfn.IFS(H848="Life Sciences", "Ciências da Vida", H848="Other", "Outro", H848="Medical", "Médico", H848="Technical Degree", "Curso Técnico", H848="Marketing", "Marketing", H848="Human Resources", "Recursos Humanos")</f>
        <v>Ciências da Vida</v>
      </c>
      <c r="AL848" t="str" cm="1">
        <f t="array" ref="AL8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49" spans="1:38" x14ac:dyDescent="0.25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IF(tbRh[[#This Row],[Gender]]="Female","Feminino","Masculino")</f>
        <v>Masculino</v>
      </c>
      <c r="AK849" t="str" cm="1">
        <f t="array" ref="AK849">_xlfn.IFS(H849="Life Sciences", "Ciências da Vida", H849="Other", "Outro", H849="Medical", "Médico", H849="Technical Degree", "Curso Técnico", H849="Marketing", "Marketing", H849="Human Resources", "Recursos Humanos")</f>
        <v>Médico</v>
      </c>
      <c r="AL849" t="str" cm="1">
        <f t="array" ref="AL8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0" spans="1:38" x14ac:dyDescent="0.25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IF(tbRh[[#This Row],[Gender]]="Female","Feminino","Masculino")</f>
        <v>Masculino</v>
      </c>
      <c r="AK850" t="str" cm="1">
        <f t="array" ref="AK850">_xlfn.IFS(H850="Life Sciences", "Ciências da Vida", H850="Other", "Outro", H850="Medical", "Médico", H850="Technical Degree", "Curso Técnico", H850="Marketing", "Marketing", H850="Human Resources", "Recursos Humanos")</f>
        <v>Outro</v>
      </c>
      <c r="AL850" t="str" cm="1">
        <f t="array" ref="AL8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1" spans="1:38" x14ac:dyDescent="0.25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IF(tbRh[[#This Row],[Gender]]="Female","Feminino","Masculino")</f>
        <v>Feminino</v>
      </c>
      <c r="AK851" t="str" cm="1">
        <f t="array" ref="AK851">_xlfn.IFS(H851="Life Sciences", "Ciências da Vida", H851="Other", "Outro", H851="Medical", "Médico", H851="Technical Degree", "Curso Técnico", H851="Marketing", "Marketing", H851="Human Resources", "Recursos Humanos")</f>
        <v>Marketing</v>
      </c>
      <c r="AL851" t="str" cm="1">
        <f t="array" ref="AL85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52" spans="1:38" x14ac:dyDescent="0.25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IF(tbRh[[#This Row],[Gender]]="Female","Feminino","Masculino")</f>
        <v>Feminino</v>
      </c>
      <c r="AK852" t="str" cm="1">
        <f t="array" ref="AK852">_xlfn.IFS(H852="Life Sciences", "Ciências da Vida", H852="Other", "Outro", H852="Medical", "Médico", H852="Technical Degree", "Curso Técnico", H852="Marketing", "Marketing", H852="Human Resources", "Recursos Humanos")</f>
        <v>Ciências da Vida</v>
      </c>
      <c r="AL852" t="str" cm="1">
        <f t="array" ref="AL85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53" spans="1:38" x14ac:dyDescent="0.25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IF(tbRh[[#This Row],[Gender]]="Female","Feminino","Masculino")</f>
        <v>Feminino</v>
      </c>
      <c r="AK853" t="str" cm="1">
        <f t="array" ref="AK853">_xlfn.IFS(H853="Life Sciences", "Ciências da Vida", H853="Other", "Outro", H853="Medical", "Médico", H853="Technical Degree", "Curso Técnico", H853="Marketing", "Marketing", H853="Human Resources", "Recursos Humanos")</f>
        <v>Curso Técnico</v>
      </c>
      <c r="AL853" t="str" cm="1">
        <f t="array" ref="AL8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4" spans="1:38" x14ac:dyDescent="0.25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IF(tbRh[[#This Row],[Gender]]="Female","Feminino","Masculino")</f>
        <v>Feminino</v>
      </c>
      <c r="AK854" t="str" cm="1">
        <f t="array" ref="AK854">_xlfn.IFS(H854="Life Sciences", "Ciências da Vida", H854="Other", "Outro", H854="Medical", "Médico", H854="Technical Degree", "Curso Técnico", H854="Marketing", "Marketing", H854="Human Resources", "Recursos Humanos")</f>
        <v>Médico</v>
      </c>
      <c r="AL854" t="str" cm="1">
        <f t="array" ref="AL8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5" spans="1:38" x14ac:dyDescent="0.25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IF(tbRh[[#This Row],[Gender]]="Female","Feminino","Masculino")</f>
        <v>Masculino</v>
      </c>
      <c r="AK855" t="str" cm="1">
        <f t="array" ref="AK855">_xlfn.IFS(H855="Life Sciences", "Ciências da Vida", H855="Other", "Outro", H855="Medical", "Médico", H855="Technical Degree", "Curso Técnico", H855="Marketing", "Marketing", H855="Human Resources", "Recursos Humanos")</f>
        <v>Ciências da Vida</v>
      </c>
      <c r="AL855" t="str" cm="1">
        <f t="array" ref="AL8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6" spans="1:38" x14ac:dyDescent="0.25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IF(tbRh[[#This Row],[Gender]]="Female","Feminino","Masculino")</f>
        <v>Feminino</v>
      </c>
      <c r="AK856" t="str" cm="1">
        <f t="array" ref="AK856">_xlfn.IFS(H856="Life Sciences", "Ciências da Vida", H856="Other", "Outro", H856="Medical", "Médico", H856="Technical Degree", "Curso Técnico", H856="Marketing", "Marketing", H856="Human Resources", "Recursos Humanos")</f>
        <v>Médico</v>
      </c>
      <c r="AL856" t="str" cm="1">
        <f t="array" ref="AL85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7" spans="1:38" x14ac:dyDescent="0.25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IF(tbRh[[#This Row],[Gender]]="Female","Feminino","Masculino")</f>
        <v>Feminino</v>
      </c>
      <c r="AK857" t="str" cm="1">
        <f t="array" ref="AK857">_xlfn.IFS(H857="Life Sciences", "Ciências da Vida", H857="Other", "Outro", H857="Medical", "Médico", H857="Technical Degree", "Curso Técnico", H857="Marketing", "Marketing", H857="Human Resources", "Recursos Humanos")</f>
        <v>Ciências da Vida</v>
      </c>
      <c r="AL857" t="str" cm="1">
        <f t="array" ref="AL8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8" spans="1:38" x14ac:dyDescent="0.25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IF(tbRh[[#This Row],[Gender]]="Female","Feminino","Masculino")</f>
        <v>Masculino</v>
      </c>
      <c r="AK858" t="str" cm="1">
        <f t="array" ref="AK858">_xlfn.IFS(H858="Life Sciences", "Ciências da Vida", H858="Other", "Outro", H858="Medical", "Médico", H858="Technical Degree", "Curso Técnico", H858="Marketing", "Marketing", H858="Human Resources", "Recursos Humanos")</f>
        <v>Ciências da Vida</v>
      </c>
      <c r="AL858" t="str" cm="1">
        <f t="array" ref="AL8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59" spans="1:38" x14ac:dyDescent="0.25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IF(tbRh[[#This Row],[Gender]]="Female","Feminino","Masculino")</f>
        <v>Masculino</v>
      </c>
      <c r="AK859" t="str" cm="1">
        <f t="array" ref="AK859">_xlfn.IFS(H859="Life Sciences", "Ciências da Vida", H859="Other", "Outro", H859="Medical", "Médico", H859="Technical Degree", "Curso Técnico", H859="Marketing", "Marketing", H859="Human Resources", "Recursos Humanos")</f>
        <v>Ciências da Vida</v>
      </c>
      <c r="AL859" t="str" cm="1">
        <f t="array" ref="AL8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0" spans="1:38" x14ac:dyDescent="0.25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IF(tbRh[[#This Row],[Gender]]="Female","Feminino","Masculino")</f>
        <v>Feminino</v>
      </c>
      <c r="AK860" t="str" cm="1">
        <f t="array" ref="AK860">_xlfn.IFS(H860="Life Sciences", "Ciências da Vida", H860="Other", "Outro", H860="Medical", "Médico", H860="Technical Degree", "Curso Técnico", H860="Marketing", "Marketing", H860="Human Resources", "Recursos Humanos")</f>
        <v>Médico</v>
      </c>
      <c r="AL860" t="str" cm="1">
        <f t="array" ref="AL8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1" spans="1:38" x14ac:dyDescent="0.25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IF(tbRh[[#This Row],[Gender]]="Female","Feminino","Masculino")</f>
        <v>Feminino</v>
      </c>
      <c r="AK861" t="str" cm="1">
        <f t="array" ref="AK861">_xlfn.IFS(H861="Life Sciences", "Ciências da Vida", H861="Other", "Outro", H861="Medical", "Médico", H861="Technical Degree", "Curso Técnico", H861="Marketing", "Marketing", H861="Human Resources", "Recursos Humanos")</f>
        <v>Ciências da Vida</v>
      </c>
      <c r="AL861" t="str" cm="1">
        <f t="array" ref="AL8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2" spans="1:38" x14ac:dyDescent="0.25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IF(tbRh[[#This Row],[Gender]]="Female","Feminino","Masculino")</f>
        <v>Masculino</v>
      </c>
      <c r="AK862" t="str" cm="1">
        <f t="array" ref="AK862">_xlfn.IFS(H862="Life Sciences", "Ciências da Vida", H862="Other", "Outro", H862="Medical", "Médico", H862="Technical Degree", "Curso Técnico", H862="Marketing", "Marketing", H862="Human Resources", "Recursos Humanos")</f>
        <v>Ciências da Vida</v>
      </c>
      <c r="AL862" t="str" cm="1">
        <f t="array" ref="AL8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3" spans="1:38" x14ac:dyDescent="0.25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IF(tbRh[[#This Row],[Gender]]="Female","Feminino","Masculino")</f>
        <v>Feminino</v>
      </c>
      <c r="AK863" t="str" cm="1">
        <f t="array" ref="AK863">_xlfn.IFS(H863="Life Sciences", "Ciências da Vida", H863="Other", "Outro", H863="Medical", "Médico", H863="Technical Degree", "Curso Técnico", H863="Marketing", "Marketing", H863="Human Resources", "Recursos Humanos")</f>
        <v>Marketing</v>
      </c>
      <c r="AL863" t="str" cm="1">
        <f t="array" ref="AL86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64" spans="1:38" x14ac:dyDescent="0.25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IF(tbRh[[#This Row],[Gender]]="Female","Feminino","Masculino")</f>
        <v>Masculino</v>
      </c>
      <c r="AK864" t="str" cm="1">
        <f t="array" ref="AK864">_xlfn.IFS(H864="Life Sciences", "Ciências da Vida", H864="Other", "Outro", H864="Medical", "Médico", H864="Technical Degree", "Curso Técnico", H864="Marketing", "Marketing", H864="Human Resources", "Recursos Humanos")</f>
        <v>Ciências da Vida</v>
      </c>
      <c r="AL864" t="str" cm="1">
        <f t="array" ref="AL8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5" spans="1:38" x14ac:dyDescent="0.25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IF(tbRh[[#This Row],[Gender]]="Female","Feminino","Masculino")</f>
        <v>Masculino</v>
      </c>
      <c r="AK865" t="str" cm="1">
        <f t="array" ref="AK865">_xlfn.IFS(H865="Life Sciences", "Ciências da Vida", H865="Other", "Outro", H865="Medical", "Médico", H865="Technical Degree", "Curso Técnico", H865="Marketing", "Marketing", H865="Human Resources", "Recursos Humanos")</f>
        <v>Recursos Humanos</v>
      </c>
      <c r="AL865" t="str" cm="1">
        <f t="array" ref="AL86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866" spans="1:38" x14ac:dyDescent="0.25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IF(tbRh[[#This Row],[Gender]]="Female","Feminino","Masculino")</f>
        <v>Masculino</v>
      </c>
      <c r="AK866" t="str" cm="1">
        <f t="array" ref="AK866">_xlfn.IFS(H866="Life Sciences", "Ciências da Vida", H866="Other", "Outro", H866="Medical", "Médico", H866="Technical Degree", "Curso Técnico", H866="Marketing", "Marketing", H866="Human Resources", "Recursos Humanos")</f>
        <v>Ciências da Vida</v>
      </c>
      <c r="AL866" t="str" cm="1">
        <f t="array" ref="AL8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67" spans="1:38" x14ac:dyDescent="0.25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IF(tbRh[[#This Row],[Gender]]="Female","Feminino","Masculino")</f>
        <v>Masculino</v>
      </c>
      <c r="AK867" t="str" cm="1">
        <f t="array" ref="AK867">_xlfn.IFS(H867="Life Sciences", "Ciências da Vida", H867="Other", "Outro", H867="Medical", "Médico", H867="Technical Degree", "Curso Técnico", H867="Marketing", "Marketing", H867="Human Resources", "Recursos Humanos")</f>
        <v>Ciências da Vida</v>
      </c>
      <c r="AL867" t="str" cm="1">
        <f t="array" ref="AL86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68" spans="1:38" x14ac:dyDescent="0.25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IF(tbRh[[#This Row],[Gender]]="Female","Feminino","Masculino")</f>
        <v>Masculino</v>
      </c>
      <c r="AK868" t="str" cm="1">
        <f t="array" ref="AK868">_xlfn.IFS(H868="Life Sciences", "Ciências da Vida", H868="Other", "Outro", H868="Medical", "Médico", H868="Technical Degree", "Curso Técnico", H868="Marketing", "Marketing", H868="Human Resources", "Recursos Humanos")</f>
        <v>Médico</v>
      </c>
      <c r="AL868" t="str" cm="1">
        <f t="array" ref="AL86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69" spans="1:38" x14ac:dyDescent="0.25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IF(tbRh[[#This Row],[Gender]]="Female","Feminino","Masculino")</f>
        <v>Feminino</v>
      </c>
      <c r="AK869" t="str" cm="1">
        <f t="array" ref="AK869">_xlfn.IFS(H869="Life Sciences", "Ciências da Vida", H869="Other", "Outro", H869="Medical", "Médico", H869="Technical Degree", "Curso Técnico", H869="Marketing", "Marketing", H869="Human Resources", "Recursos Humanos")</f>
        <v>Médico</v>
      </c>
      <c r="AL869" t="str" cm="1">
        <f t="array" ref="AL8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0" spans="1:38" x14ac:dyDescent="0.25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IF(tbRh[[#This Row],[Gender]]="Female","Feminino","Masculino")</f>
        <v>Masculino</v>
      </c>
      <c r="AK870" t="str" cm="1">
        <f t="array" ref="AK870">_xlfn.IFS(H870="Life Sciences", "Ciências da Vida", H870="Other", "Outro", H870="Medical", "Médico", H870="Technical Degree", "Curso Técnico", H870="Marketing", "Marketing", H870="Human Resources", "Recursos Humanos")</f>
        <v>Médico</v>
      </c>
      <c r="AL870" t="str" cm="1">
        <f t="array" ref="AL8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1" spans="1:38" x14ac:dyDescent="0.25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IF(tbRh[[#This Row],[Gender]]="Female","Feminino","Masculino")</f>
        <v>Masculino</v>
      </c>
      <c r="AK871" t="str" cm="1">
        <f t="array" ref="AK871">_xlfn.IFS(H871="Life Sciences", "Ciências da Vida", H871="Other", "Outro", H871="Medical", "Médico", H871="Technical Degree", "Curso Técnico", H871="Marketing", "Marketing", H871="Human Resources", "Recursos Humanos")</f>
        <v>Ciências da Vida</v>
      </c>
      <c r="AL871" t="str" cm="1">
        <f t="array" ref="AL8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2" spans="1:38" x14ac:dyDescent="0.25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IF(tbRh[[#This Row],[Gender]]="Female","Feminino","Masculino")</f>
        <v>Masculino</v>
      </c>
      <c r="AK872" t="str" cm="1">
        <f t="array" ref="AK872">_xlfn.IFS(H872="Life Sciences", "Ciências da Vida", H872="Other", "Outro", H872="Medical", "Médico", H872="Technical Degree", "Curso Técnico", H872="Marketing", "Marketing", H872="Human Resources", "Recursos Humanos")</f>
        <v>Ciências da Vida</v>
      </c>
      <c r="AL872" t="str" cm="1">
        <f t="array" ref="AL8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73" spans="1:38" x14ac:dyDescent="0.25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IF(tbRh[[#This Row],[Gender]]="Female","Feminino","Masculino")</f>
        <v>Feminino</v>
      </c>
      <c r="AK873" t="str" cm="1">
        <f t="array" ref="AK873">_xlfn.IFS(H873="Life Sciences", "Ciências da Vida", H873="Other", "Outro", H873="Medical", "Médico", H873="Technical Degree", "Curso Técnico", H873="Marketing", "Marketing", H873="Human Resources", "Recursos Humanos")</f>
        <v>Ciências da Vida</v>
      </c>
      <c r="AL873" t="str" cm="1">
        <f t="array" ref="AL8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4" spans="1:38" x14ac:dyDescent="0.25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IF(tbRh[[#This Row],[Gender]]="Female","Feminino","Masculino")</f>
        <v>Feminino</v>
      </c>
      <c r="AK874" t="str" cm="1">
        <f t="array" ref="AK874">_xlfn.IFS(H874="Life Sciences", "Ciências da Vida", H874="Other", "Outro", H874="Medical", "Médico", H874="Technical Degree", "Curso Técnico", H874="Marketing", "Marketing", H874="Human Resources", "Recursos Humanos")</f>
        <v>Médico</v>
      </c>
      <c r="AL874" t="str" cm="1">
        <f t="array" ref="AL87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75" spans="1:38" x14ac:dyDescent="0.25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IF(tbRh[[#This Row],[Gender]]="Female","Feminino","Masculino")</f>
        <v>Masculino</v>
      </c>
      <c r="AK875" t="str" cm="1">
        <f t="array" ref="AK875">_xlfn.IFS(H875="Life Sciences", "Ciências da Vida", H875="Other", "Outro", H875="Medical", "Médico", H875="Technical Degree", "Curso Técnico", H875="Marketing", "Marketing", H875="Human Resources", "Recursos Humanos")</f>
        <v>Ciências da Vida</v>
      </c>
      <c r="AL875" t="str" cm="1">
        <f t="array" ref="AL8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6" spans="1:38" x14ac:dyDescent="0.25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IF(tbRh[[#This Row],[Gender]]="Female","Feminino","Masculino")</f>
        <v>Masculino</v>
      </c>
      <c r="AK876" t="str" cm="1">
        <f t="array" ref="AK876">_xlfn.IFS(H876="Life Sciences", "Ciências da Vida", H876="Other", "Outro", H876="Medical", "Médico", H876="Technical Degree", "Curso Técnico", H876="Marketing", "Marketing", H876="Human Resources", "Recursos Humanos")</f>
        <v>Ciências da Vida</v>
      </c>
      <c r="AL876" t="str" cm="1">
        <f t="array" ref="AL8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7" spans="1:38" x14ac:dyDescent="0.25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IF(tbRh[[#This Row],[Gender]]="Female","Feminino","Masculino")</f>
        <v>Masculino</v>
      </c>
      <c r="AK877" t="str" cm="1">
        <f t="array" ref="AK877">_xlfn.IFS(H877="Life Sciences", "Ciências da Vida", H877="Other", "Outro", H877="Medical", "Médico", H877="Technical Degree", "Curso Técnico", H877="Marketing", "Marketing", H877="Human Resources", "Recursos Humanos")</f>
        <v>Outro</v>
      </c>
      <c r="AL877" t="str" cm="1">
        <f t="array" ref="AL8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78" spans="1:38" x14ac:dyDescent="0.25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IF(tbRh[[#This Row],[Gender]]="Female","Feminino","Masculino")</f>
        <v>Masculino</v>
      </c>
      <c r="AK878" t="str" cm="1">
        <f t="array" ref="AK878">_xlfn.IFS(H878="Life Sciences", "Ciências da Vida", H878="Other", "Outro", H878="Medical", "Médico", H878="Technical Degree", "Curso Técnico", H878="Marketing", "Marketing", H878="Human Resources", "Recursos Humanos")</f>
        <v>Marketing</v>
      </c>
      <c r="AL878" t="str" cm="1">
        <f t="array" ref="AL87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79" spans="1:38" x14ac:dyDescent="0.25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IF(tbRh[[#This Row],[Gender]]="Female","Feminino","Masculino")</f>
        <v>Masculino</v>
      </c>
      <c r="AK879" t="str" cm="1">
        <f t="array" ref="AK879">_xlfn.IFS(H879="Life Sciences", "Ciências da Vida", H879="Other", "Outro", H879="Medical", "Médico", H879="Technical Degree", "Curso Técnico", H879="Marketing", "Marketing", H879="Human Resources", "Recursos Humanos")</f>
        <v>Curso Técnico</v>
      </c>
      <c r="AL879" t="str" cm="1">
        <f t="array" ref="AL8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0" spans="1:38" x14ac:dyDescent="0.25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IF(tbRh[[#This Row],[Gender]]="Female","Feminino","Masculino")</f>
        <v>Masculino</v>
      </c>
      <c r="AK880" t="str" cm="1">
        <f t="array" ref="AK880">_xlfn.IFS(H880="Life Sciences", "Ciências da Vida", H880="Other", "Outro", H880="Medical", "Médico", H880="Technical Degree", "Curso Técnico", H880="Marketing", "Marketing", H880="Human Resources", "Recursos Humanos")</f>
        <v>Médico</v>
      </c>
      <c r="AL880" t="str" cm="1">
        <f t="array" ref="AL880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881" spans="1:38" x14ac:dyDescent="0.25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IF(tbRh[[#This Row],[Gender]]="Female","Feminino","Masculino")</f>
        <v>Masculino</v>
      </c>
      <c r="AK881" t="str" cm="1">
        <f t="array" ref="AK881">_xlfn.IFS(H881="Life Sciences", "Ciências da Vida", H881="Other", "Outro", H881="Medical", "Médico", H881="Technical Degree", "Curso Técnico", H881="Marketing", "Marketing", H881="Human Resources", "Recursos Humanos")</f>
        <v>Marketing</v>
      </c>
      <c r="AL881" t="str" cm="1">
        <f t="array" ref="AL88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82" spans="1:38" x14ac:dyDescent="0.25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IF(tbRh[[#This Row],[Gender]]="Female","Feminino","Masculino")</f>
        <v>Feminino</v>
      </c>
      <c r="AK882" t="str" cm="1">
        <f t="array" ref="AK882">_xlfn.IFS(H882="Life Sciences", "Ciências da Vida", H882="Other", "Outro", H882="Medical", "Médico", H882="Technical Degree", "Curso Técnico", H882="Marketing", "Marketing", H882="Human Resources", "Recursos Humanos")</f>
        <v>Outro</v>
      </c>
      <c r="AL882" t="str" cm="1">
        <f t="array" ref="AL8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3" spans="1:38" x14ac:dyDescent="0.25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IF(tbRh[[#This Row],[Gender]]="Female","Feminino","Masculino")</f>
        <v>Feminino</v>
      </c>
      <c r="AK883" t="str" cm="1">
        <f t="array" ref="AK883">_xlfn.IFS(H883="Life Sciences", "Ciências da Vida", H883="Other", "Outro", H883="Medical", "Médico", H883="Technical Degree", "Curso Técnico", H883="Marketing", "Marketing", H883="Human Resources", "Recursos Humanos")</f>
        <v>Ciências da Vida</v>
      </c>
      <c r="AL883" t="str" cm="1">
        <f t="array" ref="AL8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4" spans="1:38" x14ac:dyDescent="0.25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IF(tbRh[[#This Row],[Gender]]="Female","Feminino","Masculino")</f>
        <v>Feminino</v>
      </c>
      <c r="AK884" t="str" cm="1">
        <f t="array" ref="AK884">_xlfn.IFS(H884="Life Sciences", "Ciências da Vida", H884="Other", "Outro", H884="Medical", "Médico", H884="Technical Degree", "Curso Técnico", H884="Marketing", "Marketing", H884="Human Resources", "Recursos Humanos")</f>
        <v>Curso Técnico</v>
      </c>
      <c r="AL884" t="str" cm="1">
        <f t="array" ref="AL8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5" spans="1:38" x14ac:dyDescent="0.25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IF(tbRh[[#This Row],[Gender]]="Female","Feminino","Masculino")</f>
        <v>Masculino</v>
      </c>
      <c r="AK885" t="str" cm="1">
        <f t="array" ref="AK885">_xlfn.IFS(H885="Life Sciences", "Ciências da Vida", H885="Other", "Outro", H885="Medical", "Médico", H885="Technical Degree", "Curso Técnico", H885="Marketing", "Marketing", H885="Human Resources", "Recursos Humanos")</f>
        <v>Médico</v>
      </c>
      <c r="AL885" t="str" cm="1">
        <f t="array" ref="AL8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6" spans="1:38" x14ac:dyDescent="0.25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IF(tbRh[[#This Row],[Gender]]="Female","Feminino","Masculino")</f>
        <v>Feminino</v>
      </c>
      <c r="AK886" t="str" cm="1">
        <f t="array" ref="AK886">_xlfn.IFS(H886="Life Sciences", "Ciências da Vida", H886="Other", "Outro", H886="Medical", "Médico", H886="Technical Degree", "Curso Técnico", H886="Marketing", "Marketing", H886="Human Resources", "Recursos Humanos")</f>
        <v>Curso Técnico</v>
      </c>
      <c r="AL886" t="str" cm="1">
        <f t="array" ref="AL8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87" spans="1:38" x14ac:dyDescent="0.25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IF(tbRh[[#This Row],[Gender]]="Female","Feminino","Masculino")</f>
        <v>Masculino</v>
      </c>
      <c r="AK887" t="str" cm="1">
        <f t="array" ref="AK887">_xlfn.IFS(H887="Life Sciences", "Ciências da Vida", H887="Other", "Outro", H887="Medical", "Médico", H887="Technical Degree", "Curso Técnico", H887="Marketing", "Marketing", H887="Human Resources", "Recursos Humanos")</f>
        <v>Ciências da Vida</v>
      </c>
      <c r="AL887" t="str" cm="1">
        <f t="array" ref="AL88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88" spans="1:38" x14ac:dyDescent="0.25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IF(tbRh[[#This Row],[Gender]]="Female","Feminino","Masculino")</f>
        <v>Masculino</v>
      </c>
      <c r="AK888" t="str" cm="1">
        <f t="array" ref="AK888">_xlfn.IFS(H888="Life Sciences", "Ciências da Vida", H888="Other", "Outro", H888="Medical", "Médico", H888="Technical Degree", "Curso Técnico", H888="Marketing", "Marketing", H888="Human Resources", "Recursos Humanos")</f>
        <v>Médico</v>
      </c>
      <c r="AL888" t="str" cm="1">
        <f t="array" ref="AL8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89" spans="1:38" x14ac:dyDescent="0.25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IF(tbRh[[#This Row],[Gender]]="Female","Feminino","Masculino")</f>
        <v>Feminino</v>
      </c>
      <c r="AK889" t="str" cm="1">
        <f t="array" ref="AK889">_xlfn.IFS(H889="Life Sciences", "Ciências da Vida", H889="Other", "Outro", H889="Medical", "Médico", H889="Technical Degree", "Curso Técnico", H889="Marketing", "Marketing", H889="Human Resources", "Recursos Humanos")</f>
        <v>Médico</v>
      </c>
      <c r="AL889" t="str" cm="1">
        <f t="array" ref="AL8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0" spans="1:38" x14ac:dyDescent="0.25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IF(tbRh[[#This Row],[Gender]]="Female","Feminino","Masculino")</f>
        <v>Feminino</v>
      </c>
      <c r="AK890" t="str" cm="1">
        <f t="array" ref="AK890">_xlfn.IFS(H890="Life Sciences", "Ciências da Vida", H890="Other", "Outro", H890="Medical", "Médico", H890="Technical Degree", "Curso Técnico", H890="Marketing", "Marketing", H890="Human Resources", "Recursos Humanos")</f>
        <v>Marketing</v>
      </c>
      <c r="AL890" t="str" cm="1">
        <f t="array" ref="AL89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891" spans="1:38" x14ac:dyDescent="0.25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IF(tbRh[[#This Row],[Gender]]="Female","Feminino","Masculino")</f>
        <v>Masculino</v>
      </c>
      <c r="AK891" t="str" cm="1">
        <f t="array" ref="AK891">_xlfn.IFS(H891="Life Sciences", "Ciências da Vida", H891="Other", "Outro", H891="Medical", "Médico", H891="Technical Degree", "Curso Técnico", H891="Marketing", "Marketing", H891="Human Resources", "Recursos Humanos")</f>
        <v>Ciências da Vida</v>
      </c>
      <c r="AL891" t="str" cm="1">
        <f t="array" ref="AL8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2" spans="1:38" x14ac:dyDescent="0.25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IF(tbRh[[#This Row],[Gender]]="Female","Feminino","Masculino")</f>
        <v>Feminino</v>
      </c>
      <c r="AK892" t="str" cm="1">
        <f t="array" ref="AK892">_xlfn.IFS(H892="Life Sciences", "Ciências da Vida", H892="Other", "Outro", H892="Medical", "Médico", H892="Technical Degree", "Curso Técnico", H892="Marketing", "Marketing", H892="Human Resources", "Recursos Humanos")</f>
        <v>Ciências da Vida</v>
      </c>
      <c r="AL892" t="str" cm="1">
        <f t="array" ref="AL8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3" spans="1:38" x14ac:dyDescent="0.25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IF(tbRh[[#This Row],[Gender]]="Female","Feminino","Masculino")</f>
        <v>Feminino</v>
      </c>
      <c r="AK893" t="str" cm="1">
        <f t="array" ref="AK893">_xlfn.IFS(H893="Life Sciences", "Ciências da Vida", H893="Other", "Outro", H893="Medical", "Médico", H893="Technical Degree", "Curso Técnico", H893="Marketing", "Marketing", H893="Human Resources", "Recursos Humanos")</f>
        <v>Ciências da Vida</v>
      </c>
      <c r="AL893" t="str" cm="1">
        <f t="array" ref="AL8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4" spans="1:38" x14ac:dyDescent="0.25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IF(tbRh[[#This Row],[Gender]]="Female","Feminino","Masculino")</f>
        <v>Feminino</v>
      </c>
      <c r="AK894" t="str" cm="1">
        <f t="array" ref="AK894">_xlfn.IFS(H894="Life Sciences", "Ciências da Vida", H894="Other", "Outro", H894="Medical", "Médico", H894="Technical Degree", "Curso Técnico", H894="Marketing", "Marketing", H894="Human Resources", "Recursos Humanos")</f>
        <v>Médico</v>
      </c>
      <c r="AL894" t="str" cm="1">
        <f t="array" ref="AL8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5" spans="1:38" x14ac:dyDescent="0.25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IF(tbRh[[#This Row],[Gender]]="Female","Feminino","Masculino")</f>
        <v>Feminino</v>
      </c>
      <c r="AK895" t="str" cm="1">
        <f t="array" ref="AK895">_xlfn.IFS(H895="Life Sciences", "Ciências da Vida", H895="Other", "Outro", H895="Medical", "Médico", H895="Technical Degree", "Curso Técnico", H895="Marketing", "Marketing", H895="Human Resources", "Recursos Humanos")</f>
        <v>Ciências da Vida</v>
      </c>
      <c r="AL895" t="str" cm="1">
        <f t="array" ref="AL8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6" spans="1:38" x14ac:dyDescent="0.25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IF(tbRh[[#This Row],[Gender]]="Female","Feminino","Masculino")</f>
        <v>Masculino</v>
      </c>
      <c r="AK896" t="str" cm="1">
        <f t="array" ref="AK896">_xlfn.IFS(H896="Life Sciences", "Ciências da Vida", H896="Other", "Outro", H896="Medical", "Médico", H896="Technical Degree", "Curso Técnico", H896="Marketing", "Marketing", H896="Human Resources", "Recursos Humanos")</f>
        <v>Ciências da Vida</v>
      </c>
      <c r="AL896" t="str" cm="1">
        <f t="array" ref="AL8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7" spans="1:38" x14ac:dyDescent="0.25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IF(tbRh[[#This Row],[Gender]]="Female","Feminino","Masculino")</f>
        <v>Masculino</v>
      </c>
      <c r="AK897" t="str" cm="1">
        <f t="array" ref="AK897">_xlfn.IFS(H897="Life Sciences", "Ciências da Vida", H897="Other", "Outro", H897="Medical", "Médico", H897="Technical Degree", "Curso Técnico", H897="Marketing", "Marketing", H897="Human Resources", "Recursos Humanos")</f>
        <v>Médico</v>
      </c>
      <c r="AL897" t="str" cm="1">
        <f t="array" ref="AL8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8" spans="1:38" x14ac:dyDescent="0.25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IF(tbRh[[#This Row],[Gender]]="Female","Feminino","Masculino")</f>
        <v>Feminino</v>
      </c>
      <c r="AK898" t="str" cm="1">
        <f t="array" ref="AK898">_xlfn.IFS(H898="Life Sciences", "Ciências da Vida", H898="Other", "Outro", H898="Medical", "Médico", H898="Technical Degree", "Curso Técnico", H898="Marketing", "Marketing", H898="Human Resources", "Recursos Humanos")</f>
        <v>Médico</v>
      </c>
      <c r="AL898" t="str" cm="1">
        <f t="array" ref="AL8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899" spans="1:38" x14ac:dyDescent="0.25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IF(tbRh[[#This Row],[Gender]]="Female","Feminino","Masculino")</f>
        <v>Feminino</v>
      </c>
      <c r="AK899" t="str" cm="1">
        <f t="array" ref="AK899">_xlfn.IFS(H899="Life Sciences", "Ciências da Vida", H899="Other", "Outro", H899="Medical", "Médico", H899="Technical Degree", "Curso Técnico", H899="Marketing", "Marketing", H899="Human Resources", "Recursos Humanos")</f>
        <v>Ciências da Vida</v>
      </c>
      <c r="AL899" t="str" cm="1">
        <f t="array" ref="AL89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00" spans="1:38" x14ac:dyDescent="0.25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IF(tbRh[[#This Row],[Gender]]="Female","Feminino","Masculino")</f>
        <v>Masculino</v>
      </c>
      <c r="AK900" t="str" cm="1">
        <f t="array" ref="AK900">_xlfn.IFS(H900="Life Sciences", "Ciências da Vida", H900="Other", "Outro", H900="Medical", "Médico", H900="Technical Degree", "Curso Técnico", H900="Marketing", "Marketing", H900="Human Resources", "Recursos Humanos")</f>
        <v>Ciências da Vida</v>
      </c>
      <c r="AL900" t="str" cm="1">
        <f t="array" ref="AL9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1" spans="1:38" x14ac:dyDescent="0.25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IF(tbRh[[#This Row],[Gender]]="Female","Feminino","Masculino")</f>
        <v>Masculino</v>
      </c>
      <c r="AK901" t="str" cm="1">
        <f t="array" ref="AK901">_xlfn.IFS(H901="Life Sciences", "Ciências da Vida", H901="Other", "Outro", H901="Medical", "Médico", H901="Technical Degree", "Curso Técnico", H901="Marketing", "Marketing", H901="Human Resources", "Recursos Humanos")</f>
        <v>Médico</v>
      </c>
      <c r="AL901" t="str" cm="1">
        <f t="array" ref="AL9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2" spans="1:38" x14ac:dyDescent="0.25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IF(tbRh[[#This Row],[Gender]]="Female","Feminino","Masculino")</f>
        <v>Masculino</v>
      </c>
      <c r="AK902" t="str" cm="1">
        <f t="array" ref="AK902">_xlfn.IFS(H902="Life Sciences", "Ciências da Vida", H902="Other", "Outro", H902="Medical", "Médico", H902="Technical Degree", "Curso Técnico", H902="Marketing", "Marketing", H902="Human Resources", "Recursos Humanos")</f>
        <v>Curso Técnico</v>
      </c>
      <c r="AL902" t="str" cm="1">
        <f t="array" ref="AL9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3" spans="1:38" x14ac:dyDescent="0.25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IF(tbRh[[#This Row],[Gender]]="Female","Feminino","Masculino")</f>
        <v>Masculino</v>
      </c>
      <c r="AK903" t="str" cm="1">
        <f t="array" ref="AK903">_xlfn.IFS(H903="Life Sciences", "Ciências da Vida", H903="Other", "Outro", H903="Medical", "Médico", H903="Technical Degree", "Curso Técnico", H903="Marketing", "Marketing", H903="Human Resources", "Recursos Humanos")</f>
        <v>Curso Técnico</v>
      </c>
      <c r="AL903" t="str" cm="1">
        <f t="array" ref="AL9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4" spans="1:38" x14ac:dyDescent="0.25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IF(tbRh[[#This Row],[Gender]]="Female","Feminino","Masculino")</f>
        <v>Masculino</v>
      </c>
      <c r="AK904" t="str" cm="1">
        <f t="array" ref="AK904">_xlfn.IFS(H904="Life Sciences", "Ciências da Vida", H904="Other", "Outro", H904="Medical", "Médico", H904="Technical Degree", "Curso Técnico", H904="Marketing", "Marketing", H904="Human Resources", "Recursos Humanos")</f>
        <v>Ciências da Vida</v>
      </c>
      <c r="AL904" t="str" cm="1">
        <f t="array" ref="AL9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5" spans="1:38" x14ac:dyDescent="0.25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IF(tbRh[[#This Row],[Gender]]="Female","Feminino","Masculino")</f>
        <v>Masculino</v>
      </c>
      <c r="AK905" t="str" cm="1">
        <f t="array" ref="AK905">_xlfn.IFS(H905="Life Sciences", "Ciências da Vida", H905="Other", "Outro", H905="Medical", "Médico", H905="Technical Degree", "Curso Técnico", H905="Marketing", "Marketing", H905="Human Resources", "Recursos Humanos")</f>
        <v>Ciências da Vida</v>
      </c>
      <c r="AL905" t="str" cm="1">
        <f t="array" ref="AL9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6" spans="1:38" x14ac:dyDescent="0.25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IF(tbRh[[#This Row],[Gender]]="Female","Feminino","Masculino")</f>
        <v>Masculino</v>
      </c>
      <c r="AK906" t="str" cm="1">
        <f t="array" ref="AK906">_xlfn.IFS(H906="Life Sciences", "Ciências da Vida", H906="Other", "Outro", H906="Medical", "Médico", H906="Technical Degree", "Curso Técnico", H906="Marketing", "Marketing", H906="Human Resources", "Recursos Humanos")</f>
        <v>Ciências da Vida</v>
      </c>
      <c r="AL906" t="str" cm="1">
        <f t="array" ref="AL9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7" spans="1:38" x14ac:dyDescent="0.25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IF(tbRh[[#This Row],[Gender]]="Female","Feminino","Masculino")</f>
        <v>Feminino</v>
      </c>
      <c r="AK907" t="str" cm="1">
        <f t="array" ref="AK907">_xlfn.IFS(H907="Life Sciences", "Ciências da Vida", H907="Other", "Outro", H907="Medical", "Médico", H907="Technical Degree", "Curso Técnico", H907="Marketing", "Marketing", H907="Human Resources", "Recursos Humanos")</f>
        <v>Ciências da Vida</v>
      </c>
      <c r="AL907" t="str" cm="1">
        <f t="array" ref="AL9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8" spans="1:38" x14ac:dyDescent="0.25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IF(tbRh[[#This Row],[Gender]]="Female","Feminino","Masculino")</f>
        <v>Feminino</v>
      </c>
      <c r="AK908" t="str" cm="1">
        <f t="array" ref="AK908">_xlfn.IFS(H908="Life Sciences", "Ciências da Vida", H908="Other", "Outro", H908="Medical", "Médico", H908="Technical Degree", "Curso Técnico", H908="Marketing", "Marketing", H908="Human Resources", "Recursos Humanos")</f>
        <v>Curso Técnico</v>
      </c>
      <c r="AL908" t="str" cm="1">
        <f t="array" ref="AL9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09" spans="1:38" x14ac:dyDescent="0.25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IF(tbRh[[#This Row],[Gender]]="Female","Feminino","Masculino")</f>
        <v>Masculino</v>
      </c>
      <c r="AK909" t="str" cm="1">
        <f t="array" ref="AK909">_xlfn.IFS(H909="Life Sciences", "Ciências da Vida", H909="Other", "Outro", H909="Medical", "Médico", H909="Technical Degree", "Curso Técnico", H909="Marketing", "Marketing", H909="Human Resources", "Recursos Humanos")</f>
        <v>Marketing</v>
      </c>
      <c r="AL909" t="str" cm="1">
        <f t="array" ref="AL90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10" spans="1:38" x14ac:dyDescent="0.25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IF(tbRh[[#This Row],[Gender]]="Female","Feminino","Masculino")</f>
        <v>Masculino</v>
      </c>
      <c r="AK910" t="str" cm="1">
        <f t="array" ref="AK910">_xlfn.IFS(H910="Life Sciences", "Ciências da Vida", H910="Other", "Outro", H910="Medical", "Médico", H910="Technical Degree", "Curso Técnico", H910="Marketing", "Marketing", H910="Human Resources", "Recursos Humanos")</f>
        <v>Marketing</v>
      </c>
      <c r="AL910" t="str" cm="1">
        <f t="array" ref="AL91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11" spans="1:38" x14ac:dyDescent="0.25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IF(tbRh[[#This Row],[Gender]]="Female","Feminino","Masculino")</f>
        <v>Feminino</v>
      </c>
      <c r="AK911" t="str" cm="1">
        <f t="array" ref="AK911">_xlfn.IFS(H911="Life Sciences", "Ciências da Vida", H911="Other", "Outro", H911="Medical", "Médico", H911="Technical Degree", "Curso Técnico", H911="Marketing", "Marketing", H911="Human Resources", "Recursos Humanos")</f>
        <v>Ciências da Vida</v>
      </c>
      <c r="AL911" t="str" cm="1">
        <f t="array" ref="AL9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12" spans="1:38" x14ac:dyDescent="0.25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IF(tbRh[[#This Row],[Gender]]="Female","Feminino","Masculino")</f>
        <v>Masculino</v>
      </c>
      <c r="AK912" t="str" cm="1">
        <f t="array" ref="AK912">_xlfn.IFS(H912="Life Sciences", "Ciências da Vida", H912="Other", "Outro", H912="Medical", "Médico", H912="Technical Degree", "Curso Técnico", H912="Marketing", "Marketing", H912="Human Resources", "Recursos Humanos")</f>
        <v>Ciências da Vida</v>
      </c>
      <c r="AL912" t="str" cm="1">
        <f t="array" ref="AL9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13" spans="1:38" x14ac:dyDescent="0.25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IF(tbRh[[#This Row],[Gender]]="Female","Feminino","Masculino")</f>
        <v>Masculino</v>
      </c>
      <c r="AK913" t="str" cm="1">
        <f t="array" ref="AK913">_xlfn.IFS(H913="Life Sciences", "Ciências da Vida", H913="Other", "Outro", H913="Medical", "Médico", H913="Technical Degree", "Curso Técnico", H913="Marketing", "Marketing", H913="Human Resources", "Recursos Humanos")</f>
        <v>Ciências da Vida</v>
      </c>
      <c r="AL913" t="str" cm="1">
        <f t="array" ref="AL91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14" spans="1:38" x14ac:dyDescent="0.25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IF(tbRh[[#This Row],[Gender]]="Female","Feminino","Masculino")</f>
        <v>Masculino</v>
      </c>
      <c r="AK914" t="str" cm="1">
        <f t="array" ref="AK914">_xlfn.IFS(H914="Life Sciences", "Ciências da Vida", H914="Other", "Outro", H914="Medical", "Médico", H914="Technical Degree", "Curso Técnico", H914="Marketing", "Marketing", H914="Human Resources", "Recursos Humanos")</f>
        <v>Ciências da Vida</v>
      </c>
      <c r="AL914" t="str" cm="1">
        <f t="array" ref="AL9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15" spans="1:38" x14ac:dyDescent="0.25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IF(tbRh[[#This Row],[Gender]]="Female","Feminino","Masculino")</f>
        <v>Feminino</v>
      </c>
      <c r="AK915" t="str" cm="1">
        <f t="array" ref="AK915">_xlfn.IFS(H915="Life Sciences", "Ciências da Vida", H915="Other", "Outro", H915="Medical", "Médico", H915="Technical Degree", "Curso Técnico", H915="Marketing", "Marketing", H915="Human Resources", "Recursos Humanos")</f>
        <v>Marketing</v>
      </c>
      <c r="AL915" t="str" cm="1">
        <f t="array" ref="AL91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16" spans="1:38" x14ac:dyDescent="0.25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IF(tbRh[[#This Row],[Gender]]="Female","Feminino","Masculino")</f>
        <v>Masculino</v>
      </c>
      <c r="AK916" t="str" cm="1">
        <f t="array" ref="AK916">_xlfn.IFS(H916="Life Sciences", "Ciências da Vida", H916="Other", "Outro", H916="Medical", "Médico", H916="Technical Degree", "Curso Técnico", H916="Marketing", "Marketing", H916="Human Resources", "Recursos Humanos")</f>
        <v>Médico</v>
      </c>
      <c r="AL916" t="str" cm="1">
        <f t="array" ref="AL9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17" spans="1:38" x14ac:dyDescent="0.25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IF(tbRh[[#This Row],[Gender]]="Female","Feminino","Masculino")</f>
        <v>Feminino</v>
      </c>
      <c r="AK917" t="str" cm="1">
        <f t="array" ref="AK917">_xlfn.IFS(H917="Life Sciences", "Ciências da Vida", H917="Other", "Outro", H917="Medical", "Médico", H917="Technical Degree", "Curso Técnico", H917="Marketing", "Marketing", H917="Human Resources", "Recursos Humanos")</f>
        <v>Ciências da Vida</v>
      </c>
      <c r="AL917" t="str" cm="1">
        <f t="array" ref="AL9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18" spans="1:38" x14ac:dyDescent="0.25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IF(tbRh[[#This Row],[Gender]]="Female","Feminino","Masculino")</f>
        <v>Feminino</v>
      </c>
      <c r="AK918" t="str" cm="1">
        <f t="array" ref="AK918">_xlfn.IFS(H918="Life Sciences", "Ciências da Vida", H918="Other", "Outro", H918="Medical", "Médico", H918="Technical Degree", "Curso Técnico", H918="Marketing", "Marketing", H918="Human Resources", "Recursos Humanos")</f>
        <v>Marketing</v>
      </c>
      <c r="AL918" t="str" cm="1">
        <f t="array" ref="AL9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19" spans="1:38" x14ac:dyDescent="0.25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IF(tbRh[[#This Row],[Gender]]="Female","Feminino","Masculino")</f>
        <v>Feminino</v>
      </c>
      <c r="AK919" t="str" cm="1">
        <f t="array" ref="AK919">_xlfn.IFS(H919="Life Sciences", "Ciências da Vida", H919="Other", "Outro", H919="Medical", "Médico", H919="Technical Degree", "Curso Técnico", H919="Marketing", "Marketing", H919="Human Resources", "Recursos Humanos")</f>
        <v>Marketing</v>
      </c>
      <c r="AL919" t="str" cm="1">
        <f t="array" ref="AL91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20" spans="1:38" x14ac:dyDescent="0.25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IF(tbRh[[#This Row],[Gender]]="Female","Feminino","Masculino")</f>
        <v>Masculino</v>
      </c>
      <c r="AK920" t="str" cm="1">
        <f t="array" ref="AK920">_xlfn.IFS(H920="Life Sciences", "Ciências da Vida", H920="Other", "Outro", H920="Medical", "Médico", H920="Technical Degree", "Curso Técnico", H920="Marketing", "Marketing", H920="Human Resources", "Recursos Humanos")</f>
        <v>Ciências da Vida</v>
      </c>
      <c r="AL920" t="str" cm="1">
        <f t="array" ref="AL92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21" spans="1:38" x14ac:dyDescent="0.25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IF(tbRh[[#This Row],[Gender]]="Female","Feminino","Masculino")</f>
        <v>Masculino</v>
      </c>
      <c r="AK921" t="str" cm="1">
        <f t="array" ref="AK921">_xlfn.IFS(H921="Life Sciences", "Ciências da Vida", H921="Other", "Outro", H921="Medical", "Médico", H921="Technical Degree", "Curso Técnico", H921="Marketing", "Marketing", H921="Human Resources", "Recursos Humanos")</f>
        <v>Médico</v>
      </c>
      <c r="AL921" t="str" cm="1">
        <f t="array" ref="AL9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22" spans="1:38" x14ac:dyDescent="0.25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IF(tbRh[[#This Row],[Gender]]="Female","Feminino","Masculino")</f>
        <v>Feminino</v>
      </c>
      <c r="AK922" t="str" cm="1">
        <f t="array" ref="AK922">_xlfn.IFS(H922="Life Sciences", "Ciências da Vida", H922="Other", "Outro", H922="Medical", "Médico", H922="Technical Degree", "Curso Técnico", H922="Marketing", "Marketing", H922="Human Resources", "Recursos Humanos")</f>
        <v>Médico</v>
      </c>
      <c r="AL922" t="str" cm="1">
        <f t="array" ref="AL9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23" spans="1:38" x14ac:dyDescent="0.25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IF(tbRh[[#This Row],[Gender]]="Female","Feminino","Masculino")</f>
        <v>Masculino</v>
      </c>
      <c r="AK923" t="str" cm="1">
        <f t="array" ref="AK923">_xlfn.IFS(H923="Life Sciences", "Ciências da Vida", H923="Other", "Outro", H923="Medical", "Médico", H923="Technical Degree", "Curso Técnico", H923="Marketing", "Marketing", H923="Human Resources", "Recursos Humanos")</f>
        <v>Médico</v>
      </c>
      <c r="AL923" t="str" cm="1">
        <f t="array" ref="AL9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24" spans="1:38" x14ac:dyDescent="0.25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IF(tbRh[[#This Row],[Gender]]="Female","Feminino","Masculino")</f>
        <v>Masculino</v>
      </c>
      <c r="AK924" t="str" cm="1">
        <f t="array" ref="AK924">_xlfn.IFS(H924="Life Sciences", "Ciências da Vida", H924="Other", "Outro", H924="Medical", "Médico", H924="Technical Degree", "Curso Técnico", H924="Marketing", "Marketing", H924="Human Resources", "Recursos Humanos")</f>
        <v>Ciências da Vida</v>
      </c>
      <c r="AL924" t="str" cm="1">
        <f t="array" ref="AL9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25" spans="1:38" x14ac:dyDescent="0.25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IF(tbRh[[#This Row],[Gender]]="Female","Feminino","Masculino")</f>
        <v>Masculino</v>
      </c>
      <c r="AK925" t="str" cm="1">
        <f t="array" ref="AK925">_xlfn.IFS(H925="Life Sciences", "Ciências da Vida", H925="Other", "Outro", H925="Medical", "Médico", H925="Technical Degree", "Curso Técnico", H925="Marketing", "Marketing", H925="Human Resources", "Recursos Humanos")</f>
        <v>Ciências da Vida</v>
      </c>
      <c r="AL925" t="str" cm="1">
        <f t="array" ref="AL92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926" spans="1:38" x14ac:dyDescent="0.25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IF(tbRh[[#This Row],[Gender]]="Female","Feminino","Masculino")</f>
        <v>Masculino</v>
      </c>
      <c r="AK926" t="str" cm="1">
        <f t="array" ref="AK926">_xlfn.IFS(H926="Life Sciences", "Ciências da Vida", H926="Other", "Outro", H926="Medical", "Médico", H926="Technical Degree", "Curso Técnico", H926="Marketing", "Marketing", H926="Human Resources", "Recursos Humanos")</f>
        <v>Ciências da Vida</v>
      </c>
      <c r="AL926" t="str" cm="1">
        <f t="array" ref="AL9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27" spans="1:38" x14ac:dyDescent="0.25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IF(tbRh[[#This Row],[Gender]]="Female","Feminino","Masculino")</f>
        <v>Feminino</v>
      </c>
      <c r="AK927" t="str" cm="1">
        <f t="array" ref="AK927">_xlfn.IFS(H927="Life Sciences", "Ciências da Vida", H927="Other", "Outro", H927="Medical", "Médico", H927="Technical Degree", "Curso Técnico", H927="Marketing", "Marketing", H927="Human Resources", "Recursos Humanos")</f>
        <v>Médico</v>
      </c>
      <c r="AL927" t="str" cm="1">
        <f t="array" ref="AL9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28" spans="1:38" x14ac:dyDescent="0.25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IF(tbRh[[#This Row],[Gender]]="Female","Feminino","Masculino")</f>
        <v>Feminino</v>
      </c>
      <c r="AK928" t="str" cm="1">
        <f t="array" ref="AK928">_xlfn.IFS(H928="Life Sciences", "Ciências da Vida", H928="Other", "Outro", H928="Medical", "Médico", H928="Technical Degree", "Curso Técnico", H928="Marketing", "Marketing", H928="Human Resources", "Recursos Humanos")</f>
        <v>Marketing</v>
      </c>
      <c r="AL928" t="str" cm="1">
        <f t="array" ref="AL92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29" spans="1:38" x14ac:dyDescent="0.25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IF(tbRh[[#This Row],[Gender]]="Female","Feminino","Masculino")</f>
        <v>Feminino</v>
      </c>
      <c r="AK929" t="str" cm="1">
        <f t="array" ref="AK929">_xlfn.IFS(H929="Life Sciences", "Ciências da Vida", H929="Other", "Outro", H929="Medical", "Médico", H929="Technical Degree", "Curso Técnico", H929="Marketing", "Marketing", H929="Human Resources", "Recursos Humanos")</f>
        <v>Ciências da Vida</v>
      </c>
      <c r="AL929" t="str" cm="1">
        <f t="array" ref="AL9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0" spans="1:38" x14ac:dyDescent="0.25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IF(tbRh[[#This Row],[Gender]]="Female","Feminino","Masculino")</f>
        <v>Feminino</v>
      </c>
      <c r="AK930" t="str" cm="1">
        <f t="array" ref="AK930">_xlfn.IFS(H930="Life Sciences", "Ciências da Vida", H930="Other", "Outro", H930="Medical", "Médico", H930="Technical Degree", "Curso Técnico", H930="Marketing", "Marketing", H930="Human Resources", "Recursos Humanos")</f>
        <v>Médico</v>
      </c>
      <c r="AL930" t="str" cm="1">
        <f t="array" ref="AL9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1" spans="1:38" x14ac:dyDescent="0.25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IF(tbRh[[#This Row],[Gender]]="Female","Feminino","Masculino")</f>
        <v>Masculino</v>
      </c>
      <c r="AK931" t="str" cm="1">
        <f t="array" ref="AK931">_xlfn.IFS(H931="Life Sciences", "Ciências da Vida", H931="Other", "Outro", H931="Medical", "Médico", H931="Technical Degree", "Curso Técnico", H931="Marketing", "Marketing", H931="Human Resources", "Recursos Humanos")</f>
        <v>Ciências da Vida</v>
      </c>
      <c r="AL931" t="str" cm="1">
        <f t="array" ref="AL9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2" spans="1:38" x14ac:dyDescent="0.25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IF(tbRh[[#This Row],[Gender]]="Female","Feminino","Masculino")</f>
        <v>Feminino</v>
      </c>
      <c r="AK932" t="str" cm="1">
        <f t="array" ref="AK932">_xlfn.IFS(H932="Life Sciences", "Ciências da Vida", H932="Other", "Outro", H932="Medical", "Médico", H932="Technical Degree", "Curso Técnico", H932="Marketing", "Marketing", H932="Human Resources", "Recursos Humanos")</f>
        <v>Médico</v>
      </c>
      <c r="AL932" t="str" cm="1">
        <f t="array" ref="AL9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3" spans="1:38" x14ac:dyDescent="0.25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IF(tbRh[[#This Row],[Gender]]="Female","Feminino","Masculino")</f>
        <v>Feminino</v>
      </c>
      <c r="AK933" t="str" cm="1">
        <f t="array" ref="AK933">_xlfn.IFS(H933="Life Sciences", "Ciências da Vida", H933="Other", "Outro", H933="Medical", "Médico", H933="Technical Degree", "Curso Técnico", H933="Marketing", "Marketing", H933="Human Resources", "Recursos Humanos")</f>
        <v>Médico</v>
      </c>
      <c r="AL933" t="str" cm="1">
        <f t="array" ref="AL9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4" spans="1:38" x14ac:dyDescent="0.25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IF(tbRh[[#This Row],[Gender]]="Female","Feminino","Masculino")</f>
        <v>Feminino</v>
      </c>
      <c r="AK934" t="str" cm="1">
        <f t="array" ref="AK934">_xlfn.IFS(H934="Life Sciences", "Ciências da Vida", H934="Other", "Outro", H934="Medical", "Médico", H934="Technical Degree", "Curso Técnico", H934="Marketing", "Marketing", H934="Human Resources", "Recursos Humanos")</f>
        <v>Curso Técnico</v>
      </c>
      <c r="AL934" t="str" cm="1">
        <f t="array" ref="AL9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5" spans="1:38" x14ac:dyDescent="0.25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IF(tbRh[[#This Row],[Gender]]="Female","Feminino","Masculino")</f>
        <v>Masculino</v>
      </c>
      <c r="AK935" t="str" cm="1">
        <f t="array" ref="AK935">_xlfn.IFS(H935="Life Sciences", "Ciências da Vida", H935="Other", "Outro", H935="Medical", "Médico", H935="Technical Degree", "Curso Técnico", H935="Marketing", "Marketing", H935="Human Resources", "Recursos Humanos")</f>
        <v>Curso Técnico</v>
      </c>
      <c r="AL935" t="str" cm="1">
        <f t="array" ref="AL9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6" spans="1:38" x14ac:dyDescent="0.25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IF(tbRh[[#This Row],[Gender]]="Female","Feminino","Masculino")</f>
        <v>Feminino</v>
      </c>
      <c r="AK936" t="str" cm="1">
        <f t="array" ref="AK936">_xlfn.IFS(H936="Life Sciences", "Ciências da Vida", H936="Other", "Outro", H936="Medical", "Médico", H936="Technical Degree", "Curso Técnico", H936="Marketing", "Marketing", H936="Human Resources", "Recursos Humanos")</f>
        <v>Médico</v>
      </c>
      <c r="AL936" t="str" cm="1">
        <f t="array" ref="AL9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7" spans="1:38" x14ac:dyDescent="0.25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IF(tbRh[[#This Row],[Gender]]="Female","Feminino","Masculino")</f>
        <v>Masculino</v>
      </c>
      <c r="AK937" t="str" cm="1">
        <f t="array" ref="AK937">_xlfn.IFS(H937="Life Sciences", "Ciências da Vida", H937="Other", "Outro", H937="Medical", "Médico", H937="Technical Degree", "Curso Técnico", H937="Marketing", "Marketing", H937="Human Resources", "Recursos Humanos")</f>
        <v>Médico</v>
      </c>
      <c r="AL937" t="str" cm="1">
        <f t="array" ref="AL93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38" spans="1:38" x14ac:dyDescent="0.25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IF(tbRh[[#This Row],[Gender]]="Female","Feminino","Masculino")</f>
        <v>Feminino</v>
      </c>
      <c r="AK938" t="str" cm="1">
        <f t="array" ref="AK938">_xlfn.IFS(H938="Life Sciences", "Ciências da Vida", H938="Other", "Outro", H938="Medical", "Médico", H938="Technical Degree", "Curso Técnico", H938="Marketing", "Marketing", H938="Human Resources", "Recursos Humanos")</f>
        <v>Médico</v>
      </c>
      <c r="AL938" t="str" cm="1">
        <f t="array" ref="AL9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39" spans="1:38" x14ac:dyDescent="0.25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IF(tbRh[[#This Row],[Gender]]="Female","Feminino","Masculino")</f>
        <v>Feminino</v>
      </c>
      <c r="AK939" t="str" cm="1">
        <f t="array" ref="AK939">_xlfn.IFS(H939="Life Sciences", "Ciências da Vida", H939="Other", "Outro", H939="Medical", "Médico", H939="Technical Degree", "Curso Técnico", H939="Marketing", "Marketing", H939="Human Resources", "Recursos Humanos")</f>
        <v>Médico</v>
      </c>
      <c r="AL939" t="str" cm="1">
        <f t="array" ref="AL9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0" spans="1:38" x14ac:dyDescent="0.25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IF(tbRh[[#This Row],[Gender]]="Female","Feminino","Masculino")</f>
        <v>Masculino</v>
      </c>
      <c r="AK940" t="str" cm="1">
        <f t="array" ref="AK940">_xlfn.IFS(H940="Life Sciences", "Ciências da Vida", H940="Other", "Outro", H940="Medical", "Médico", H940="Technical Degree", "Curso Técnico", H940="Marketing", "Marketing", H940="Human Resources", "Recursos Humanos")</f>
        <v>Ciências da Vida</v>
      </c>
      <c r="AL940" t="str" cm="1">
        <f t="array" ref="AL94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1" spans="1:38" x14ac:dyDescent="0.25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IF(tbRh[[#This Row],[Gender]]="Female","Feminino","Masculino")</f>
        <v>Masculino</v>
      </c>
      <c r="AK941" t="str" cm="1">
        <f t="array" ref="AK941">_xlfn.IFS(H941="Life Sciences", "Ciências da Vida", H941="Other", "Outro", H941="Medical", "Médico", H941="Technical Degree", "Curso Técnico", H941="Marketing", "Marketing", H941="Human Resources", "Recursos Humanos")</f>
        <v>Ciências da Vida</v>
      </c>
      <c r="AL941" t="str" cm="1">
        <f t="array" ref="AL9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2" spans="1:38" x14ac:dyDescent="0.25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IF(tbRh[[#This Row],[Gender]]="Female","Feminino","Masculino")</f>
        <v>Masculino</v>
      </c>
      <c r="AK942" t="str" cm="1">
        <f t="array" ref="AK942">_xlfn.IFS(H942="Life Sciences", "Ciências da Vida", H942="Other", "Outro", H942="Medical", "Médico", H942="Technical Degree", "Curso Técnico", H942="Marketing", "Marketing", H942="Human Resources", "Recursos Humanos")</f>
        <v>Médico</v>
      </c>
      <c r="AL942" t="str" cm="1">
        <f t="array" ref="AL9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3" spans="1:38" x14ac:dyDescent="0.25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IF(tbRh[[#This Row],[Gender]]="Female","Feminino","Masculino")</f>
        <v>Feminino</v>
      </c>
      <c r="AK943" t="str" cm="1">
        <f t="array" ref="AK943">_xlfn.IFS(H943="Life Sciences", "Ciências da Vida", H943="Other", "Outro", H943="Medical", "Médico", H943="Technical Degree", "Curso Técnico", H943="Marketing", "Marketing", H943="Human Resources", "Recursos Humanos")</f>
        <v>Curso Técnico</v>
      </c>
      <c r="AL943" t="str" cm="1">
        <f t="array" ref="AL9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4" spans="1:38" x14ac:dyDescent="0.25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IF(tbRh[[#This Row],[Gender]]="Female","Feminino","Masculino")</f>
        <v>Feminino</v>
      </c>
      <c r="AK944" t="str" cm="1">
        <f t="array" ref="AK944">_xlfn.IFS(H944="Life Sciences", "Ciências da Vida", H944="Other", "Outro", H944="Medical", "Médico", H944="Technical Degree", "Curso Técnico", H944="Marketing", "Marketing", H944="Human Resources", "Recursos Humanos")</f>
        <v>Curso Técnico</v>
      </c>
      <c r="AL944" t="str" cm="1">
        <f t="array" ref="AL9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5" spans="1:38" x14ac:dyDescent="0.25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IF(tbRh[[#This Row],[Gender]]="Female","Feminino","Masculino")</f>
        <v>Feminino</v>
      </c>
      <c r="AK945" t="str" cm="1">
        <f t="array" ref="AK945">_xlfn.IFS(H945="Life Sciences", "Ciências da Vida", H945="Other", "Outro", H945="Medical", "Médico", H945="Technical Degree", "Curso Técnico", H945="Marketing", "Marketing", H945="Human Resources", "Recursos Humanos")</f>
        <v>Ciências da Vida</v>
      </c>
      <c r="AL945" t="str" cm="1">
        <f t="array" ref="AL94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946" spans="1:38" x14ac:dyDescent="0.25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IF(tbRh[[#This Row],[Gender]]="Female","Feminino","Masculino")</f>
        <v>Feminino</v>
      </c>
      <c r="AK946" t="str" cm="1">
        <f t="array" ref="AK946">_xlfn.IFS(H946="Life Sciences", "Ciências da Vida", H946="Other", "Outro", H946="Medical", "Médico", H946="Technical Degree", "Curso Técnico", H946="Marketing", "Marketing", H946="Human Resources", "Recursos Humanos")</f>
        <v>Ciências da Vida</v>
      </c>
      <c r="AL946" t="str" cm="1">
        <f t="array" ref="AL9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7" spans="1:38" x14ac:dyDescent="0.25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IF(tbRh[[#This Row],[Gender]]="Female","Feminino","Masculino")</f>
        <v>Feminino</v>
      </c>
      <c r="AK947" t="str" cm="1">
        <f t="array" ref="AK947">_xlfn.IFS(H947="Life Sciences", "Ciências da Vida", H947="Other", "Outro", H947="Medical", "Médico", H947="Technical Degree", "Curso Técnico", H947="Marketing", "Marketing", H947="Human Resources", "Recursos Humanos")</f>
        <v>Ciências da Vida</v>
      </c>
      <c r="AL947" t="str" cm="1">
        <f t="array" ref="AL9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48" spans="1:38" x14ac:dyDescent="0.25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IF(tbRh[[#This Row],[Gender]]="Female","Feminino","Masculino")</f>
        <v>Masculino</v>
      </c>
      <c r="AK948" t="str" cm="1">
        <f t="array" ref="AK948">_xlfn.IFS(H948="Life Sciences", "Ciências da Vida", H948="Other", "Outro", H948="Medical", "Médico", H948="Technical Degree", "Curso Técnico", H948="Marketing", "Marketing", H948="Human Resources", "Recursos Humanos")</f>
        <v>Marketing</v>
      </c>
      <c r="AL948" t="str" cm="1">
        <f t="array" ref="AL94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49" spans="1:38" x14ac:dyDescent="0.25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IF(tbRh[[#This Row],[Gender]]="Female","Feminino","Masculino")</f>
        <v>Masculino</v>
      </c>
      <c r="AK949" t="str" cm="1">
        <f t="array" ref="AK949">_xlfn.IFS(H949="Life Sciences", "Ciências da Vida", H949="Other", "Outro", H949="Medical", "Médico", H949="Technical Degree", "Curso Técnico", H949="Marketing", "Marketing", H949="Human Resources", "Recursos Humanos")</f>
        <v>Ciências da Vida</v>
      </c>
      <c r="AL949" t="str" cm="1">
        <f t="array" ref="AL9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50" spans="1:38" x14ac:dyDescent="0.25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IF(tbRh[[#This Row],[Gender]]="Female","Feminino","Masculino")</f>
        <v>Feminino</v>
      </c>
      <c r="AK950" t="str" cm="1">
        <f t="array" ref="AK950">_xlfn.IFS(H950="Life Sciences", "Ciências da Vida", H950="Other", "Outro", H950="Medical", "Médico", H950="Technical Degree", "Curso Técnico", H950="Marketing", "Marketing", H950="Human Resources", "Recursos Humanos")</f>
        <v>Médico</v>
      </c>
      <c r="AL950" t="str" cm="1">
        <f t="array" ref="AL9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51" spans="1:38" x14ac:dyDescent="0.25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IF(tbRh[[#This Row],[Gender]]="Female","Feminino","Masculino")</f>
        <v>Masculino</v>
      </c>
      <c r="AK951" t="str" cm="1">
        <f t="array" ref="AK951">_xlfn.IFS(H951="Life Sciences", "Ciências da Vida", H951="Other", "Outro", H951="Medical", "Médico", H951="Technical Degree", "Curso Técnico", H951="Marketing", "Marketing", H951="Human Resources", "Recursos Humanos")</f>
        <v>Ciências da Vida</v>
      </c>
      <c r="AL951" t="str" cm="1">
        <f t="array" ref="AL9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52" spans="1:38" x14ac:dyDescent="0.25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IF(tbRh[[#This Row],[Gender]]="Female","Feminino","Masculino")</f>
        <v>Feminino</v>
      </c>
      <c r="AK952" t="str" cm="1">
        <f t="array" ref="AK952">_xlfn.IFS(H952="Life Sciences", "Ciências da Vida", H952="Other", "Outro", H952="Medical", "Médico", H952="Technical Degree", "Curso Técnico", H952="Marketing", "Marketing", H952="Human Resources", "Recursos Humanos")</f>
        <v>Ciências da Vida</v>
      </c>
      <c r="AL952" t="str" cm="1">
        <f t="array" ref="AL95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53" spans="1:38" x14ac:dyDescent="0.25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IF(tbRh[[#This Row],[Gender]]="Female","Feminino","Masculino")</f>
        <v>Masculino</v>
      </c>
      <c r="AK953" t="str" cm="1">
        <f t="array" ref="AK953">_xlfn.IFS(H953="Life Sciences", "Ciências da Vida", H953="Other", "Outro", H953="Medical", "Médico", H953="Technical Degree", "Curso Técnico", H953="Marketing", "Marketing", H953="Human Resources", "Recursos Humanos")</f>
        <v>Médico</v>
      </c>
      <c r="AL953" t="str" cm="1">
        <f t="array" ref="AL9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54" spans="1:38" x14ac:dyDescent="0.25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IF(tbRh[[#This Row],[Gender]]="Female","Feminino","Masculino")</f>
        <v>Feminino</v>
      </c>
      <c r="AK954" t="str" cm="1">
        <f t="array" ref="AK954">_xlfn.IFS(H954="Life Sciences", "Ciências da Vida", H954="Other", "Outro", H954="Medical", "Médico", H954="Technical Degree", "Curso Técnico", H954="Marketing", "Marketing", H954="Human Resources", "Recursos Humanos")</f>
        <v>Ciências da Vida</v>
      </c>
      <c r="AL954" t="str" cm="1">
        <f t="array" ref="AL9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55" spans="1:38" x14ac:dyDescent="0.25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IF(tbRh[[#This Row],[Gender]]="Female","Feminino","Masculino")</f>
        <v>Masculino</v>
      </c>
      <c r="AK955" t="str" cm="1">
        <f t="array" ref="AK955">_xlfn.IFS(H955="Life Sciences", "Ciências da Vida", H955="Other", "Outro", H955="Medical", "Médico", H955="Technical Degree", "Curso Técnico", H955="Marketing", "Marketing", H955="Human Resources", "Recursos Humanos")</f>
        <v>Ciências da Vida</v>
      </c>
      <c r="AL955" t="str" cm="1">
        <f t="array" ref="AL9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56" spans="1:38" x14ac:dyDescent="0.25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IF(tbRh[[#This Row],[Gender]]="Female","Feminino","Masculino")</f>
        <v>Masculino</v>
      </c>
      <c r="AK956" t="str" cm="1">
        <f t="array" ref="AK956">_xlfn.IFS(H956="Life Sciences", "Ciências da Vida", H956="Other", "Outro", H956="Medical", "Médico", H956="Technical Degree", "Curso Técnico", H956="Marketing", "Marketing", H956="Human Resources", "Recursos Humanos")</f>
        <v>Ciências da Vida</v>
      </c>
      <c r="AL956" t="str" cm="1">
        <f t="array" ref="AL95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57" spans="1:38" x14ac:dyDescent="0.25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IF(tbRh[[#This Row],[Gender]]="Female","Feminino","Masculino")</f>
        <v>Feminino</v>
      </c>
      <c r="AK957" t="str" cm="1">
        <f t="array" ref="AK957">_xlfn.IFS(H957="Life Sciences", "Ciências da Vida", H957="Other", "Outro", H957="Medical", "Médico", H957="Technical Degree", "Curso Técnico", H957="Marketing", "Marketing", H957="Human Resources", "Recursos Humanos")</f>
        <v>Médico</v>
      </c>
      <c r="AL957" t="str" cm="1">
        <f t="array" ref="AL9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58" spans="1:38" x14ac:dyDescent="0.25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IF(tbRh[[#This Row],[Gender]]="Female","Feminino","Masculino")</f>
        <v>Masculino</v>
      </c>
      <c r="AK958" t="str" cm="1">
        <f t="array" ref="AK958">_xlfn.IFS(H958="Life Sciences", "Ciências da Vida", H958="Other", "Outro", H958="Medical", "Médico", H958="Technical Degree", "Curso Técnico", H958="Marketing", "Marketing", H958="Human Resources", "Recursos Humanos")</f>
        <v>Ciências da Vida</v>
      </c>
      <c r="AL958" t="str" cm="1">
        <f t="array" ref="AL958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959" spans="1:38" x14ac:dyDescent="0.25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IF(tbRh[[#This Row],[Gender]]="Female","Feminino","Masculino")</f>
        <v>Masculino</v>
      </c>
      <c r="AK959" t="str" cm="1">
        <f t="array" ref="AK959">_xlfn.IFS(H959="Life Sciences", "Ciências da Vida", H959="Other", "Outro", H959="Medical", "Médico", H959="Technical Degree", "Curso Técnico", H959="Marketing", "Marketing", H959="Human Resources", "Recursos Humanos")</f>
        <v>Ciências da Vida</v>
      </c>
      <c r="AL959" t="str" cm="1">
        <f t="array" ref="AL9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0" spans="1:38" x14ac:dyDescent="0.25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IF(tbRh[[#This Row],[Gender]]="Female","Feminino","Masculino")</f>
        <v>Masculino</v>
      </c>
      <c r="AK960" t="str" cm="1">
        <f t="array" ref="AK960">_xlfn.IFS(H960="Life Sciences", "Ciências da Vida", H960="Other", "Outro", H960="Medical", "Médico", H960="Technical Degree", "Curso Técnico", H960="Marketing", "Marketing", H960="Human Resources", "Recursos Humanos")</f>
        <v>Ciências da Vida</v>
      </c>
      <c r="AL960" t="str" cm="1">
        <f t="array" ref="AL9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1" spans="1:38" x14ac:dyDescent="0.25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IF(tbRh[[#This Row],[Gender]]="Female","Feminino","Masculino")</f>
        <v>Masculino</v>
      </c>
      <c r="AK961" t="str" cm="1">
        <f t="array" ref="AK961">_xlfn.IFS(H961="Life Sciences", "Ciências da Vida", H961="Other", "Outro", H961="Medical", "Médico", H961="Technical Degree", "Curso Técnico", H961="Marketing", "Marketing", H961="Human Resources", "Recursos Humanos")</f>
        <v>Ciências da Vida</v>
      </c>
      <c r="AL961" t="str" cm="1">
        <f t="array" ref="AL9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2" spans="1:38" x14ac:dyDescent="0.25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IF(tbRh[[#This Row],[Gender]]="Female","Feminino","Masculino")</f>
        <v>Feminino</v>
      </c>
      <c r="AK962" t="str" cm="1">
        <f t="array" ref="AK962">_xlfn.IFS(H962="Life Sciences", "Ciências da Vida", H962="Other", "Outro", H962="Medical", "Médico", H962="Technical Degree", "Curso Técnico", H962="Marketing", "Marketing", H962="Human Resources", "Recursos Humanos")</f>
        <v>Marketing</v>
      </c>
      <c r="AL962" t="str" cm="1">
        <f t="array" ref="AL96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63" spans="1:38" x14ac:dyDescent="0.25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IF(tbRh[[#This Row],[Gender]]="Female","Feminino","Masculino")</f>
        <v>Masculino</v>
      </c>
      <c r="AK963" t="str" cm="1">
        <f t="array" ref="AK963">_xlfn.IFS(H963="Life Sciences", "Ciências da Vida", H963="Other", "Outro", H963="Medical", "Médico", H963="Technical Degree", "Curso Técnico", H963="Marketing", "Marketing", H963="Human Resources", "Recursos Humanos")</f>
        <v>Ciências da Vida</v>
      </c>
      <c r="AL963" t="str" cm="1">
        <f t="array" ref="AL9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4" spans="1:38" x14ac:dyDescent="0.25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IF(tbRh[[#This Row],[Gender]]="Female","Feminino","Masculino")</f>
        <v>Masculino</v>
      </c>
      <c r="AK964" t="str" cm="1">
        <f t="array" ref="AK964">_xlfn.IFS(H964="Life Sciences", "Ciências da Vida", H964="Other", "Outro", H964="Medical", "Médico", H964="Technical Degree", "Curso Técnico", H964="Marketing", "Marketing", H964="Human Resources", "Recursos Humanos")</f>
        <v>Ciências da Vida</v>
      </c>
      <c r="AL964" t="str" cm="1">
        <f t="array" ref="AL964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965" spans="1:38" x14ac:dyDescent="0.25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IF(tbRh[[#This Row],[Gender]]="Female","Feminino","Masculino")</f>
        <v>Feminino</v>
      </c>
      <c r="AK965" t="str" cm="1">
        <f t="array" ref="AK965">_xlfn.IFS(H965="Life Sciences", "Ciências da Vida", H965="Other", "Outro", H965="Medical", "Médico", H965="Technical Degree", "Curso Técnico", H965="Marketing", "Marketing", H965="Human Resources", "Recursos Humanos")</f>
        <v>Ciências da Vida</v>
      </c>
      <c r="AL965" t="str" cm="1">
        <f t="array" ref="AL9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66" spans="1:38" x14ac:dyDescent="0.25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IF(tbRh[[#This Row],[Gender]]="Female","Feminino","Masculino")</f>
        <v>Feminino</v>
      </c>
      <c r="AK966" t="str" cm="1">
        <f t="array" ref="AK966">_xlfn.IFS(H966="Life Sciences", "Ciências da Vida", H966="Other", "Outro", H966="Medical", "Médico", H966="Technical Degree", "Curso Técnico", H966="Marketing", "Marketing", H966="Human Resources", "Recursos Humanos")</f>
        <v>Médico</v>
      </c>
      <c r="AL966" t="str" cm="1">
        <f t="array" ref="AL96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67" spans="1:38" x14ac:dyDescent="0.25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IF(tbRh[[#This Row],[Gender]]="Female","Feminino","Masculino")</f>
        <v>Masculino</v>
      </c>
      <c r="AK967" t="str" cm="1">
        <f t="array" ref="AK967">_xlfn.IFS(H967="Life Sciences", "Ciências da Vida", H967="Other", "Outro", H967="Medical", "Médico", H967="Technical Degree", "Curso Técnico", H967="Marketing", "Marketing", H967="Human Resources", "Recursos Humanos")</f>
        <v>Médico</v>
      </c>
      <c r="AL967" t="str" cm="1">
        <f t="array" ref="AL9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8" spans="1:38" x14ac:dyDescent="0.25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IF(tbRh[[#This Row],[Gender]]="Female","Feminino","Masculino")</f>
        <v>Feminino</v>
      </c>
      <c r="AK968" t="str" cm="1">
        <f t="array" ref="AK968">_xlfn.IFS(H968="Life Sciences", "Ciências da Vida", H968="Other", "Outro", H968="Medical", "Médico", H968="Technical Degree", "Curso Técnico", H968="Marketing", "Marketing", H968="Human Resources", "Recursos Humanos")</f>
        <v>Médico</v>
      </c>
      <c r="AL968" t="str" cm="1">
        <f t="array" ref="AL9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69" spans="1:38" x14ac:dyDescent="0.25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IF(tbRh[[#This Row],[Gender]]="Female","Feminino","Masculino")</f>
        <v>Masculino</v>
      </c>
      <c r="AK969" t="str" cm="1">
        <f t="array" ref="AK969">_xlfn.IFS(H969="Life Sciences", "Ciências da Vida", H969="Other", "Outro", H969="Medical", "Médico", H969="Technical Degree", "Curso Técnico", H969="Marketing", "Marketing", H969="Human Resources", "Recursos Humanos")</f>
        <v>Ciências da Vida</v>
      </c>
      <c r="AL969" t="str" cm="1">
        <f t="array" ref="AL9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70" spans="1:38" x14ac:dyDescent="0.25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IF(tbRh[[#This Row],[Gender]]="Female","Feminino","Masculino")</f>
        <v>Feminino</v>
      </c>
      <c r="AK970" t="str" cm="1">
        <f t="array" ref="AK970">_xlfn.IFS(H970="Life Sciences", "Ciências da Vida", H970="Other", "Outro", H970="Medical", "Médico", H970="Technical Degree", "Curso Técnico", H970="Marketing", "Marketing", H970="Human Resources", "Recursos Humanos")</f>
        <v>Marketing</v>
      </c>
      <c r="AL970" t="str" cm="1">
        <f t="array" ref="AL97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71" spans="1:38" x14ac:dyDescent="0.25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IF(tbRh[[#This Row],[Gender]]="Female","Feminino","Masculino")</f>
        <v>Masculino</v>
      </c>
      <c r="AK971" t="str" cm="1">
        <f t="array" ref="AK971">_xlfn.IFS(H971="Life Sciences", "Ciências da Vida", H971="Other", "Outro", H971="Medical", "Médico", H971="Technical Degree", "Curso Técnico", H971="Marketing", "Marketing", H971="Human Resources", "Recursos Humanos")</f>
        <v>Ciências da Vida</v>
      </c>
      <c r="AL971" t="str" cm="1">
        <f t="array" ref="AL9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72" spans="1:38" x14ac:dyDescent="0.25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IF(tbRh[[#This Row],[Gender]]="Female","Feminino","Masculino")</f>
        <v>Feminino</v>
      </c>
      <c r="AK972" t="str" cm="1">
        <f t="array" ref="AK972">_xlfn.IFS(H972="Life Sciences", "Ciências da Vida", H972="Other", "Outro", H972="Medical", "Médico", H972="Technical Degree", "Curso Técnico", H972="Marketing", "Marketing", H972="Human Resources", "Recursos Humanos")</f>
        <v>Médico</v>
      </c>
      <c r="AL972" t="str" cm="1">
        <f t="array" ref="AL9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73" spans="1:38" x14ac:dyDescent="0.25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IF(tbRh[[#This Row],[Gender]]="Female","Feminino","Masculino")</f>
        <v>Feminino</v>
      </c>
      <c r="AK973" t="str" cm="1">
        <f t="array" ref="AK973">_xlfn.IFS(H973="Life Sciences", "Ciências da Vida", H973="Other", "Outro", H973="Medical", "Médico", H973="Technical Degree", "Curso Técnico", H973="Marketing", "Marketing", H973="Human Resources", "Recursos Humanos")</f>
        <v>Curso Técnico</v>
      </c>
      <c r="AL973" t="str" cm="1">
        <f t="array" ref="AL9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74" spans="1:38" x14ac:dyDescent="0.25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IF(tbRh[[#This Row],[Gender]]="Female","Feminino","Masculino")</f>
        <v>Feminino</v>
      </c>
      <c r="AK974" t="str" cm="1">
        <f t="array" ref="AK974">_xlfn.IFS(H974="Life Sciences", "Ciências da Vida", H974="Other", "Outro", H974="Medical", "Médico", H974="Technical Degree", "Curso Técnico", H974="Marketing", "Marketing", H974="Human Resources", "Recursos Humanos")</f>
        <v>Ciências da Vida</v>
      </c>
      <c r="AL974" t="str" cm="1">
        <f t="array" ref="AL9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75" spans="1:38" x14ac:dyDescent="0.25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IF(tbRh[[#This Row],[Gender]]="Female","Feminino","Masculino")</f>
        <v>Feminino</v>
      </c>
      <c r="AK975" t="str" cm="1">
        <f t="array" ref="AK975">_xlfn.IFS(H975="Life Sciences", "Ciências da Vida", H975="Other", "Outro", H975="Medical", "Médico", H975="Technical Degree", "Curso Técnico", H975="Marketing", "Marketing", H975="Human Resources", "Recursos Humanos")</f>
        <v>Médico</v>
      </c>
      <c r="AL975" t="str" cm="1">
        <f t="array" ref="AL9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76" spans="1:38" x14ac:dyDescent="0.25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IF(tbRh[[#This Row],[Gender]]="Female","Feminino","Masculino")</f>
        <v>Masculino</v>
      </c>
      <c r="AK976" t="str" cm="1">
        <f t="array" ref="AK976">_xlfn.IFS(H976="Life Sciences", "Ciências da Vida", H976="Other", "Outro", H976="Medical", "Médico", H976="Technical Degree", "Curso Técnico", H976="Marketing", "Marketing", H976="Human Resources", "Recursos Humanos")</f>
        <v>Ciências da Vida</v>
      </c>
      <c r="AL976" t="str" cm="1">
        <f t="array" ref="AL97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77" spans="1:38" x14ac:dyDescent="0.25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IF(tbRh[[#This Row],[Gender]]="Female","Feminino","Masculino")</f>
        <v>Masculino</v>
      </c>
      <c r="AK977" t="str" cm="1">
        <f t="array" ref="AK977">_xlfn.IFS(H977="Life Sciences", "Ciências da Vida", H977="Other", "Outro", H977="Medical", "Médico", H977="Technical Degree", "Curso Técnico", H977="Marketing", "Marketing", H977="Human Resources", "Recursos Humanos")</f>
        <v>Marketing</v>
      </c>
      <c r="AL977" t="str" cm="1">
        <f t="array" ref="AL97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78" spans="1:38" x14ac:dyDescent="0.25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IF(tbRh[[#This Row],[Gender]]="Female","Feminino","Masculino")</f>
        <v>Masculino</v>
      </c>
      <c r="AK978" t="str" cm="1">
        <f t="array" ref="AK978">_xlfn.IFS(H978="Life Sciences", "Ciências da Vida", H978="Other", "Outro", H978="Medical", "Médico", H978="Technical Degree", "Curso Técnico", H978="Marketing", "Marketing", H978="Human Resources", "Recursos Humanos")</f>
        <v>Ciências da Vida</v>
      </c>
      <c r="AL978" t="str" cm="1">
        <f t="array" ref="AL9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79" spans="1:38" x14ac:dyDescent="0.25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IF(tbRh[[#This Row],[Gender]]="Female","Feminino","Masculino")</f>
        <v>Feminino</v>
      </c>
      <c r="AK979" t="str" cm="1">
        <f t="array" ref="AK979">_xlfn.IFS(H979="Life Sciences", "Ciências da Vida", H979="Other", "Outro", H979="Medical", "Médico", H979="Technical Degree", "Curso Técnico", H979="Marketing", "Marketing", H979="Human Resources", "Recursos Humanos")</f>
        <v>Curso Técnico</v>
      </c>
      <c r="AL979" t="str" cm="1">
        <f t="array" ref="AL9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0" spans="1:38" x14ac:dyDescent="0.25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IF(tbRh[[#This Row],[Gender]]="Female","Feminino","Masculino")</f>
        <v>Feminino</v>
      </c>
      <c r="AK980" t="str" cm="1">
        <f t="array" ref="AK980">_xlfn.IFS(H980="Life Sciences", "Ciências da Vida", H980="Other", "Outro", H980="Medical", "Médico", H980="Technical Degree", "Curso Técnico", H980="Marketing", "Marketing", H980="Human Resources", "Recursos Humanos")</f>
        <v>Médico</v>
      </c>
      <c r="AL980" t="str" cm="1">
        <f t="array" ref="AL9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1" spans="1:38" x14ac:dyDescent="0.25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IF(tbRh[[#This Row],[Gender]]="Female","Feminino","Masculino")</f>
        <v>Masculino</v>
      </c>
      <c r="AK981" t="str" cm="1">
        <f t="array" ref="AK981">_xlfn.IFS(H981="Life Sciences", "Ciências da Vida", H981="Other", "Outro", H981="Medical", "Médico", H981="Technical Degree", "Curso Técnico", H981="Marketing", "Marketing", H981="Human Resources", "Recursos Humanos")</f>
        <v>Médico</v>
      </c>
      <c r="AL981" t="str" cm="1">
        <f t="array" ref="AL9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2" spans="1:38" x14ac:dyDescent="0.25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IF(tbRh[[#This Row],[Gender]]="Female","Feminino","Masculino")</f>
        <v>Feminino</v>
      </c>
      <c r="AK982" t="str" cm="1">
        <f t="array" ref="AK982">_xlfn.IFS(H982="Life Sciences", "Ciências da Vida", H982="Other", "Outro", H982="Medical", "Médico", H982="Technical Degree", "Curso Técnico", H982="Marketing", "Marketing", H982="Human Resources", "Recursos Humanos")</f>
        <v>Ciências da Vida</v>
      </c>
      <c r="AL982" t="str" cm="1">
        <f t="array" ref="AL98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83" spans="1:38" x14ac:dyDescent="0.25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IF(tbRh[[#This Row],[Gender]]="Female","Feminino","Masculino")</f>
        <v>Feminino</v>
      </c>
      <c r="AK983" t="str" cm="1">
        <f t="array" ref="AK983">_xlfn.IFS(H983="Life Sciences", "Ciências da Vida", H983="Other", "Outro", H983="Medical", "Médico", H983="Technical Degree", "Curso Técnico", H983="Marketing", "Marketing", H983="Human Resources", "Recursos Humanos")</f>
        <v>Marketing</v>
      </c>
      <c r="AL983" t="str" cm="1">
        <f t="array" ref="AL98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84" spans="1:38" x14ac:dyDescent="0.25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IF(tbRh[[#This Row],[Gender]]="Female","Feminino","Masculino")</f>
        <v>Masculino</v>
      </c>
      <c r="AK984" t="str" cm="1">
        <f t="array" ref="AK984">_xlfn.IFS(H984="Life Sciences", "Ciências da Vida", H984="Other", "Outro", H984="Medical", "Médico", H984="Technical Degree", "Curso Técnico", H984="Marketing", "Marketing", H984="Human Resources", "Recursos Humanos")</f>
        <v>Ciências da Vida</v>
      </c>
      <c r="AL984" t="str" cm="1">
        <f t="array" ref="AL9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5" spans="1:38" x14ac:dyDescent="0.25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IF(tbRh[[#This Row],[Gender]]="Female","Feminino","Masculino")</f>
        <v>Feminino</v>
      </c>
      <c r="AK985" t="str" cm="1">
        <f t="array" ref="AK985">_xlfn.IFS(H985="Life Sciences", "Ciências da Vida", H985="Other", "Outro", H985="Medical", "Médico", H985="Technical Degree", "Curso Técnico", H985="Marketing", "Marketing", H985="Human Resources", "Recursos Humanos")</f>
        <v>Curso Técnico</v>
      </c>
      <c r="AL985" t="str" cm="1">
        <f t="array" ref="AL9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6" spans="1:38" x14ac:dyDescent="0.25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IF(tbRh[[#This Row],[Gender]]="Female","Feminino","Masculino")</f>
        <v>Masculino</v>
      </c>
      <c r="AK986" t="str" cm="1">
        <f t="array" ref="AK986">_xlfn.IFS(H986="Life Sciences", "Ciências da Vida", H986="Other", "Outro", H986="Medical", "Médico", H986="Technical Degree", "Curso Técnico", H986="Marketing", "Marketing", H986="Human Resources", "Recursos Humanos")</f>
        <v>Ciências da Vida</v>
      </c>
      <c r="AL986" t="str" cm="1">
        <f t="array" ref="AL9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87" spans="1:38" x14ac:dyDescent="0.25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IF(tbRh[[#This Row],[Gender]]="Female","Feminino","Masculino")</f>
        <v>Masculino</v>
      </c>
      <c r="AK987" t="str" cm="1">
        <f t="array" ref="AK987">_xlfn.IFS(H987="Life Sciences", "Ciências da Vida", H987="Other", "Outro", H987="Medical", "Médico", H987="Technical Degree", "Curso Técnico", H987="Marketing", "Marketing", H987="Human Resources", "Recursos Humanos")</f>
        <v>Médico</v>
      </c>
      <c r="AL987" t="str" cm="1">
        <f t="array" ref="AL9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88" spans="1:38" x14ac:dyDescent="0.25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IF(tbRh[[#This Row],[Gender]]="Female","Feminino","Masculino")</f>
        <v>Masculino</v>
      </c>
      <c r="AK988" t="str" cm="1">
        <f t="array" ref="AK988">_xlfn.IFS(H988="Life Sciences", "Ciências da Vida", H988="Other", "Outro", H988="Medical", "Médico", H988="Technical Degree", "Curso Técnico", H988="Marketing", "Marketing", H988="Human Resources", "Recursos Humanos")</f>
        <v>Ciências da Vida</v>
      </c>
      <c r="AL988" t="str" cm="1">
        <f t="array" ref="AL98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89" spans="1:38" x14ac:dyDescent="0.25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IF(tbRh[[#This Row],[Gender]]="Female","Feminino","Masculino")</f>
        <v>Masculino</v>
      </c>
      <c r="AK989" t="str" cm="1">
        <f t="array" ref="AK989">_xlfn.IFS(H989="Life Sciences", "Ciências da Vida", H989="Other", "Outro", H989="Medical", "Médico", H989="Technical Degree", "Curso Técnico", H989="Marketing", "Marketing", H989="Human Resources", "Recursos Humanos")</f>
        <v>Marketing</v>
      </c>
      <c r="AL989" t="str" cm="1">
        <f t="array" ref="AL98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90" spans="1:38" x14ac:dyDescent="0.25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IF(tbRh[[#This Row],[Gender]]="Female","Feminino","Masculino")</f>
        <v>Feminino</v>
      </c>
      <c r="AK990" t="str" cm="1">
        <f t="array" ref="AK990">_xlfn.IFS(H990="Life Sciences", "Ciências da Vida", H990="Other", "Outro", H990="Medical", "Médico", H990="Technical Degree", "Curso Técnico", H990="Marketing", "Marketing", H990="Human Resources", "Recursos Humanos")</f>
        <v>Ciências da Vida</v>
      </c>
      <c r="AL990" t="str" cm="1">
        <f t="array" ref="AL9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91" spans="1:38" x14ac:dyDescent="0.25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IF(tbRh[[#This Row],[Gender]]="Female","Feminino","Masculino")</f>
        <v>Masculino</v>
      </c>
      <c r="AK991" t="str" cm="1">
        <f t="array" ref="AK991">_xlfn.IFS(H991="Life Sciences", "Ciências da Vida", H991="Other", "Outro", H991="Medical", "Médico", H991="Technical Degree", "Curso Técnico", H991="Marketing", "Marketing", H991="Human Resources", "Recursos Humanos")</f>
        <v>Ciências da Vida</v>
      </c>
      <c r="AL991" t="str" cm="1">
        <f t="array" ref="AL9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92" spans="1:38" x14ac:dyDescent="0.25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IF(tbRh[[#This Row],[Gender]]="Female","Feminino","Masculino")</f>
        <v>Masculino</v>
      </c>
      <c r="AK992" t="str" cm="1">
        <f t="array" ref="AK992">_xlfn.IFS(H992="Life Sciences", "Ciências da Vida", H992="Other", "Outro", H992="Medical", "Médico", H992="Technical Degree", "Curso Técnico", H992="Marketing", "Marketing", H992="Human Resources", "Recursos Humanos")</f>
        <v>Ciências da Vida</v>
      </c>
      <c r="AL992" t="str" cm="1">
        <f t="array" ref="AL99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93" spans="1:38" x14ac:dyDescent="0.25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IF(tbRh[[#This Row],[Gender]]="Female","Feminino","Masculino")</f>
        <v>Masculino</v>
      </c>
      <c r="AK993" t="str" cm="1">
        <f t="array" ref="AK993">_xlfn.IFS(H993="Life Sciences", "Ciências da Vida", H993="Other", "Outro", H993="Medical", "Médico", H993="Technical Degree", "Curso Técnico", H993="Marketing", "Marketing", H993="Human Resources", "Recursos Humanos")</f>
        <v>Marketing</v>
      </c>
      <c r="AL993" t="str" cm="1">
        <f t="array" ref="AL99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94" spans="1:38" x14ac:dyDescent="0.25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IF(tbRh[[#This Row],[Gender]]="Female","Feminino","Masculino")</f>
        <v>Masculino</v>
      </c>
      <c r="AK994" t="str" cm="1">
        <f t="array" ref="AK994">_xlfn.IFS(H994="Life Sciences", "Ciências da Vida", H994="Other", "Outro", H994="Medical", "Médico", H994="Technical Degree", "Curso Técnico", H994="Marketing", "Marketing", H994="Human Resources", "Recursos Humanos")</f>
        <v>Ciências da Vida</v>
      </c>
      <c r="AL994" t="str" cm="1">
        <f t="array" ref="AL9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95" spans="1:38" x14ac:dyDescent="0.25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IF(tbRh[[#This Row],[Gender]]="Female","Feminino","Masculino")</f>
        <v>Masculino</v>
      </c>
      <c r="AK995" t="str" cm="1">
        <f t="array" ref="AK995">_xlfn.IFS(H995="Life Sciences", "Ciências da Vida", H995="Other", "Outro", H995="Medical", "Médico", H995="Technical Degree", "Curso Técnico", H995="Marketing", "Marketing", H995="Human Resources", "Recursos Humanos")</f>
        <v>Ciências da Vida</v>
      </c>
      <c r="AL995" t="str" cm="1">
        <f t="array" ref="AL99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96" spans="1:38" x14ac:dyDescent="0.25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IF(tbRh[[#This Row],[Gender]]="Female","Feminino","Masculino")</f>
        <v>Feminino</v>
      </c>
      <c r="AK996" t="str" cm="1">
        <f t="array" ref="AK996">_xlfn.IFS(H996="Life Sciences", "Ciências da Vida", H996="Other", "Outro", H996="Medical", "Médico", H996="Technical Degree", "Curso Técnico", H996="Marketing", "Marketing", H996="Human Resources", "Recursos Humanos")</f>
        <v>Médico</v>
      </c>
      <c r="AL996" t="str" cm="1">
        <f t="array" ref="AL9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97" spans="1:38" x14ac:dyDescent="0.25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IF(tbRh[[#This Row],[Gender]]="Female","Feminino","Masculino")</f>
        <v>Feminino</v>
      </c>
      <c r="AK997" t="str" cm="1">
        <f t="array" ref="AK997">_xlfn.IFS(H997="Life Sciences", "Ciências da Vida", H997="Other", "Outro", H997="Medical", "Médico", H997="Technical Degree", "Curso Técnico", H997="Marketing", "Marketing", H997="Human Resources", "Recursos Humanos")</f>
        <v>Médico</v>
      </c>
      <c r="AL997" t="str" cm="1">
        <f t="array" ref="AL9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998" spans="1:38" x14ac:dyDescent="0.25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IF(tbRh[[#This Row],[Gender]]="Female","Feminino","Masculino")</f>
        <v>Feminino</v>
      </c>
      <c r="AK998" t="str" cm="1">
        <f t="array" ref="AK998">_xlfn.IFS(H998="Life Sciences", "Ciências da Vida", H998="Other", "Outro", H998="Medical", "Médico", H998="Technical Degree", "Curso Técnico", H998="Marketing", "Marketing", H998="Human Resources", "Recursos Humanos")</f>
        <v>Marketing</v>
      </c>
      <c r="AL998" t="str" cm="1">
        <f t="array" ref="AL99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999" spans="1:38" x14ac:dyDescent="0.25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IF(tbRh[[#This Row],[Gender]]="Female","Feminino","Masculino")</f>
        <v>Feminino</v>
      </c>
      <c r="AK999" t="str" cm="1">
        <f t="array" ref="AK999">_xlfn.IFS(H999="Life Sciences", "Ciências da Vida", H999="Other", "Outro", H999="Medical", "Médico", H999="Technical Degree", "Curso Técnico", H999="Marketing", "Marketing", H999="Human Resources", "Recursos Humanos")</f>
        <v>Ciências da Vida</v>
      </c>
      <c r="AL999" t="str" cm="1">
        <f t="array" ref="AL9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0" spans="1:38" x14ac:dyDescent="0.25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IF(tbRh[[#This Row],[Gender]]="Female","Feminino","Masculino")</f>
        <v>Masculino</v>
      </c>
      <c r="AK1000" t="str" cm="1">
        <f t="array" ref="AK1000">_xlfn.IFS(H1000="Life Sciences", "Ciências da Vida", H1000="Other", "Outro", H1000="Medical", "Médico", H1000="Technical Degree", "Curso Técnico", H1000="Marketing", "Marketing", H1000="Human Resources", "Recursos Humanos")</f>
        <v>Médico</v>
      </c>
      <c r="AL1000" t="str" cm="1">
        <f t="array" ref="AL10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1" spans="1:38" x14ac:dyDescent="0.25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IF(tbRh[[#This Row],[Gender]]="Female","Feminino","Masculino")</f>
        <v>Feminino</v>
      </c>
      <c r="AK1001" t="str" cm="1">
        <f t="array" ref="AK1001">_xlfn.IFS(H1001="Life Sciences", "Ciências da Vida", H1001="Other", "Outro", H1001="Medical", "Médico", H1001="Technical Degree", "Curso Técnico", H1001="Marketing", "Marketing", H1001="Human Resources", "Recursos Humanos")</f>
        <v>Recursos Humanos</v>
      </c>
      <c r="AL1001" t="str" cm="1">
        <f t="array" ref="AL100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02" spans="1:38" x14ac:dyDescent="0.25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IF(tbRh[[#This Row],[Gender]]="Female","Feminino","Masculino")</f>
        <v>Feminino</v>
      </c>
      <c r="AK1002" t="str" cm="1">
        <f t="array" ref="AK1002">_xlfn.IFS(H1002="Life Sciences", "Ciências da Vida", H1002="Other", "Outro", H1002="Medical", "Médico", H1002="Technical Degree", "Curso Técnico", H1002="Marketing", "Marketing", H1002="Human Resources", "Recursos Humanos")</f>
        <v>Outro</v>
      </c>
      <c r="AL1002" t="str" cm="1">
        <f t="array" ref="AL100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3" spans="1:38" x14ac:dyDescent="0.25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IF(tbRh[[#This Row],[Gender]]="Female","Feminino","Masculino")</f>
        <v>Feminino</v>
      </c>
      <c r="AK1003" t="str" cm="1">
        <f t="array" ref="AK1003">_xlfn.IFS(H1003="Life Sciences", "Ciências da Vida", H1003="Other", "Outro", H1003="Medical", "Médico", H1003="Technical Degree", "Curso Técnico", H1003="Marketing", "Marketing", H1003="Human Resources", "Recursos Humanos")</f>
        <v>Médico</v>
      </c>
      <c r="AL1003" t="str" cm="1">
        <f t="array" ref="AL10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4" spans="1:38" x14ac:dyDescent="0.25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IF(tbRh[[#This Row],[Gender]]="Female","Feminino","Masculino")</f>
        <v>Masculino</v>
      </c>
      <c r="AK1004" t="str" cm="1">
        <f t="array" ref="AK1004">_xlfn.IFS(H1004="Life Sciences", "Ciências da Vida", H1004="Other", "Outro", H1004="Medical", "Médico", H1004="Technical Degree", "Curso Técnico", H1004="Marketing", "Marketing", H1004="Human Resources", "Recursos Humanos")</f>
        <v>Ciências da Vida</v>
      </c>
      <c r="AL1004" t="str" cm="1">
        <f t="array" ref="AL10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5" spans="1:38" x14ac:dyDescent="0.25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IF(tbRh[[#This Row],[Gender]]="Female","Feminino","Masculino")</f>
        <v>Masculino</v>
      </c>
      <c r="AK1005" t="str" cm="1">
        <f t="array" ref="AK1005">_xlfn.IFS(H1005="Life Sciences", "Ciências da Vida", H1005="Other", "Outro", H1005="Medical", "Médico", H1005="Technical Degree", "Curso Técnico", H1005="Marketing", "Marketing", H1005="Human Resources", "Recursos Humanos")</f>
        <v>Curso Técnico</v>
      </c>
      <c r="AL1005" t="str" cm="1">
        <f t="array" ref="AL10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6" spans="1:38" x14ac:dyDescent="0.25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IF(tbRh[[#This Row],[Gender]]="Female","Feminino","Masculino")</f>
        <v>Masculino</v>
      </c>
      <c r="AK1006" t="str" cm="1">
        <f t="array" ref="AK1006">_xlfn.IFS(H1006="Life Sciences", "Ciências da Vida", H1006="Other", "Outro", H1006="Medical", "Médico", H1006="Technical Degree", "Curso Técnico", H1006="Marketing", "Marketing", H1006="Human Resources", "Recursos Humanos")</f>
        <v>Outro</v>
      </c>
      <c r="AL1006" t="str" cm="1">
        <f t="array" ref="AL10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7" spans="1:38" x14ac:dyDescent="0.25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IF(tbRh[[#This Row],[Gender]]="Female","Feminino","Masculino")</f>
        <v>Masculino</v>
      </c>
      <c r="AK1007" t="str" cm="1">
        <f t="array" ref="AK1007">_xlfn.IFS(H1007="Life Sciences", "Ciências da Vida", H1007="Other", "Outro", H1007="Medical", "Médico", H1007="Technical Degree", "Curso Técnico", H1007="Marketing", "Marketing", H1007="Human Resources", "Recursos Humanos")</f>
        <v>Outro</v>
      </c>
      <c r="AL1007" t="str" cm="1">
        <f t="array" ref="AL100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08" spans="1:38" x14ac:dyDescent="0.25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IF(tbRh[[#This Row],[Gender]]="Female","Feminino","Masculino")</f>
        <v>Masculino</v>
      </c>
      <c r="AK1008" t="str" cm="1">
        <f t="array" ref="AK1008">_xlfn.IFS(H1008="Life Sciences", "Ciências da Vida", H1008="Other", "Outro", H1008="Medical", "Médico", H1008="Technical Degree", "Curso Técnico", H1008="Marketing", "Marketing", H1008="Human Resources", "Recursos Humanos")</f>
        <v>Ciências da Vida</v>
      </c>
      <c r="AL1008" t="str" cm="1">
        <f t="array" ref="AL10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09" spans="1:38" x14ac:dyDescent="0.25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IF(tbRh[[#This Row],[Gender]]="Female","Feminino","Masculino")</f>
        <v>Feminino</v>
      </c>
      <c r="AK1009" t="str" cm="1">
        <f t="array" ref="AK1009">_xlfn.IFS(H1009="Life Sciences", "Ciências da Vida", H1009="Other", "Outro", H1009="Medical", "Médico", H1009="Technical Degree", "Curso Técnico", H1009="Marketing", "Marketing", H1009="Human Resources", "Recursos Humanos")</f>
        <v>Outro</v>
      </c>
      <c r="AL1009" t="str" cm="1">
        <f t="array" ref="AL10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0" spans="1:38" x14ac:dyDescent="0.25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IF(tbRh[[#This Row],[Gender]]="Female","Feminino","Masculino")</f>
        <v>Feminino</v>
      </c>
      <c r="AK1010" t="str" cm="1">
        <f t="array" ref="AK1010">_xlfn.IFS(H1010="Life Sciences", "Ciências da Vida", H1010="Other", "Outro", H1010="Medical", "Médico", H1010="Technical Degree", "Curso Técnico", H1010="Marketing", "Marketing", H1010="Human Resources", "Recursos Humanos")</f>
        <v>Médico</v>
      </c>
      <c r="AL1010" t="str" cm="1">
        <f t="array" ref="AL10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1" spans="1:38" x14ac:dyDescent="0.25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IF(tbRh[[#This Row],[Gender]]="Female","Feminino","Masculino")</f>
        <v>Feminino</v>
      </c>
      <c r="AK1011" t="str" cm="1">
        <f t="array" ref="AK1011">_xlfn.IFS(H1011="Life Sciences", "Ciências da Vida", H1011="Other", "Outro", H1011="Medical", "Médico", H1011="Technical Degree", "Curso Técnico", H1011="Marketing", "Marketing", H1011="Human Resources", "Recursos Humanos")</f>
        <v>Médico</v>
      </c>
      <c r="AL1011" t="str" cm="1">
        <f t="array" ref="AL10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2" spans="1:38" x14ac:dyDescent="0.25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IF(tbRh[[#This Row],[Gender]]="Female","Feminino","Masculino")</f>
        <v>Masculino</v>
      </c>
      <c r="AK1012" t="str" cm="1">
        <f t="array" ref="AK1012">_xlfn.IFS(H1012="Life Sciences", "Ciências da Vida", H1012="Other", "Outro", H1012="Medical", "Médico", H1012="Technical Degree", "Curso Técnico", H1012="Marketing", "Marketing", H1012="Human Resources", "Recursos Humanos")</f>
        <v>Médico</v>
      </c>
      <c r="AL1012" t="str" cm="1">
        <f t="array" ref="AL10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3" spans="1:38" x14ac:dyDescent="0.25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IF(tbRh[[#This Row],[Gender]]="Female","Feminino","Masculino")</f>
        <v>Feminino</v>
      </c>
      <c r="AK1013" t="str" cm="1">
        <f t="array" ref="AK1013">_xlfn.IFS(H1013="Life Sciences", "Ciências da Vida", H1013="Other", "Outro", H1013="Medical", "Médico", H1013="Technical Degree", "Curso Técnico", H1013="Marketing", "Marketing", H1013="Human Resources", "Recursos Humanos")</f>
        <v>Marketing</v>
      </c>
      <c r="AL1013" t="str" cm="1">
        <f t="array" ref="AL101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14" spans="1:38" x14ac:dyDescent="0.25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IF(tbRh[[#This Row],[Gender]]="Female","Feminino","Masculino")</f>
        <v>Feminino</v>
      </c>
      <c r="AK1014" t="str" cm="1">
        <f t="array" ref="AK1014">_xlfn.IFS(H1014="Life Sciences", "Ciências da Vida", H1014="Other", "Outro", H1014="Medical", "Médico", H1014="Technical Degree", "Curso Técnico", H1014="Marketing", "Marketing", H1014="Human Resources", "Recursos Humanos")</f>
        <v>Ciências da Vida</v>
      </c>
      <c r="AL1014" t="str" cm="1">
        <f t="array" ref="AL101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15" spans="1:38" x14ac:dyDescent="0.25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IF(tbRh[[#This Row],[Gender]]="Female","Feminino","Masculino")</f>
        <v>Feminino</v>
      </c>
      <c r="AK1015" t="str" cm="1">
        <f t="array" ref="AK1015">_xlfn.IFS(H1015="Life Sciences", "Ciências da Vida", H1015="Other", "Outro", H1015="Medical", "Médico", H1015="Technical Degree", "Curso Técnico", H1015="Marketing", "Marketing", H1015="Human Resources", "Recursos Humanos")</f>
        <v>Marketing</v>
      </c>
      <c r="AL1015" t="str" cm="1">
        <f t="array" ref="AL101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16" spans="1:38" x14ac:dyDescent="0.25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IF(tbRh[[#This Row],[Gender]]="Female","Feminino","Masculino")</f>
        <v>Feminino</v>
      </c>
      <c r="AK1016" t="str" cm="1">
        <f t="array" ref="AK1016">_xlfn.IFS(H1016="Life Sciences", "Ciências da Vida", H1016="Other", "Outro", H1016="Medical", "Médico", H1016="Technical Degree", "Curso Técnico", H1016="Marketing", "Marketing", H1016="Human Resources", "Recursos Humanos")</f>
        <v>Ciências da Vida</v>
      </c>
      <c r="AL1016" t="str" cm="1">
        <f t="array" ref="AL10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7" spans="1:38" x14ac:dyDescent="0.25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IF(tbRh[[#This Row],[Gender]]="Female","Feminino","Masculino")</f>
        <v>Masculino</v>
      </c>
      <c r="AK1017" t="str" cm="1">
        <f t="array" ref="AK1017">_xlfn.IFS(H1017="Life Sciences", "Ciências da Vida", H1017="Other", "Outro", H1017="Medical", "Médico", H1017="Technical Degree", "Curso Técnico", H1017="Marketing", "Marketing", H1017="Human Resources", "Recursos Humanos")</f>
        <v>Outro</v>
      </c>
      <c r="AL1017" t="str" cm="1">
        <f t="array" ref="AL10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8" spans="1:38" x14ac:dyDescent="0.25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IF(tbRh[[#This Row],[Gender]]="Female","Feminino","Masculino")</f>
        <v>Feminino</v>
      </c>
      <c r="AK1018" t="str" cm="1">
        <f t="array" ref="AK1018">_xlfn.IFS(H1018="Life Sciences", "Ciências da Vida", H1018="Other", "Outro", H1018="Medical", "Médico", H1018="Technical Degree", "Curso Técnico", H1018="Marketing", "Marketing", H1018="Human Resources", "Recursos Humanos")</f>
        <v>Ciências da Vida</v>
      </c>
      <c r="AL1018" t="str" cm="1">
        <f t="array" ref="AL101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19" spans="1:38" x14ac:dyDescent="0.25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IF(tbRh[[#This Row],[Gender]]="Female","Feminino","Masculino")</f>
        <v>Masculino</v>
      </c>
      <c r="AK1019" t="str" cm="1">
        <f t="array" ref="AK1019">_xlfn.IFS(H1019="Life Sciences", "Ciências da Vida", H1019="Other", "Outro", H1019="Medical", "Médico", H1019="Technical Degree", "Curso Técnico", H1019="Marketing", "Marketing", H1019="Human Resources", "Recursos Humanos")</f>
        <v>Ciências da Vida</v>
      </c>
      <c r="AL1019" t="str" cm="1">
        <f t="array" ref="AL10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0" spans="1:38" x14ac:dyDescent="0.25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IF(tbRh[[#This Row],[Gender]]="Female","Feminino","Masculino")</f>
        <v>Masculino</v>
      </c>
      <c r="AK1020" t="str" cm="1">
        <f t="array" ref="AK1020">_xlfn.IFS(H1020="Life Sciences", "Ciências da Vida", H1020="Other", "Outro", H1020="Medical", "Médico", H1020="Technical Degree", "Curso Técnico", H1020="Marketing", "Marketing", H1020="Human Resources", "Recursos Humanos")</f>
        <v>Ciências da Vida</v>
      </c>
      <c r="AL1020" t="str" cm="1">
        <f t="array" ref="AL10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1" spans="1:38" x14ac:dyDescent="0.25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IF(tbRh[[#This Row],[Gender]]="Female","Feminino","Masculino")</f>
        <v>Feminino</v>
      </c>
      <c r="AK1021" t="str" cm="1">
        <f t="array" ref="AK1021">_xlfn.IFS(H1021="Life Sciences", "Ciências da Vida", H1021="Other", "Outro", H1021="Medical", "Médico", H1021="Technical Degree", "Curso Técnico", H1021="Marketing", "Marketing", H1021="Human Resources", "Recursos Humanos")</f>
        <v>Marketing</v>
      </c>
      <c r="AL1021" t="str" cm="1">
        <f t="array" ref="AL10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22" spans="1:38" x14ac:dyDescent="0.25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IF(tbRh[[#This Row],[Gender]]="Female","Feminino","Masculino")</f>
        <v>Masculino</v>
      </c>
      <c r="AK1022" t="str" cm="1">
        <f t="array" ref="AK1022">_xlfn.IFS(H1022="Life Sciences", "Ciências da Vida", H1022="Other", "Outro", H1022="Medical", "Médico", H1022="Technical Degree", "Curso Técnico", H1022="Marketing", "Marketing", H1022="Human Resources", "Recursos Humanos")</f>
        <v>Curso Técnico</v>
      </c>
      <c r="AL1022" t="str" cm="1">
        <f t="array" ref="AL10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3" spans="1:38" x14ac:dyDescent="0.25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IF(tbRh[[#This Row],[Gender]]="Female","Feminino","Masculino")</f>
        <v>Masculino</v>
      </c>
      <c r="AK1023" t="str" cm="1">
        <f t="array" ref="AK1023">_xlfn.IFS(H1023="Life Sciences", "Ciências da Vida", H1023="Other", "Outro", H1023="Medical", "Médico", H1023="Technical Degree", "Curso Técnico", H1023="Marketing", "Marketing", H1023="Human Resources", "Recursos Humanos")</f>
        <v>Ciências da Vida</v>
      </c>
      <c r="AL1023" t="str" cm="1">
        <f t="array" ref="AL10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24" spans="1:38" x14ac:dyDescent="0.25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IF(tbRh[[#This Row],[Gender]]="Female","Feminino","Masculino")</f>
        <v>Masculino</v>
      </c>
      <c r="AK1024" t="str" cm="1">
        <f t="array" ref="AK1024">_xlfn.IFS(H1024="Life Sciences", "Ciências da Vida", H1024="Other", "Outro", H1024="Medical", "Médico", H1024="Technical Degree", "Curso Técnico", H1024="Marketing", "Marketing", H1024="Human Resources", "Recursos Humanos")</f>
        <v>Curso Técnico</v>
      </c>
      <c r="AL1024" t="str" cm="1">
        <f t="array" ref="AL10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5" spans="1:38" x14ac:dyDescent="0.25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IF(tbRh[[#This Row],[Gender]]="Female","Feminino","Masculino")</f>
        <v>Feminino</v>
      </c>
      <c r="AK1025" t="str" cm="1">
        <f t="array" ref="AK1025">_xlfn.IFS(H1025="Life Sciences", "Ciências da Vida", H1025="Other", "Outro", H1025="Medical", "Médico", H1025="Technical Degree", "Curso Técnico", H1025="Marketing", "Marketing", H1025="Human Resources", "Recursos Humanos")</f>
        <v>Ciências da Vida</v>
      </c>
      <c r="AL1025" t="str" cm="1">
        <f t="array" ref="AL10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6" spans="1:38" x14ac:dyDescent="0.25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IF(tbRh[[#This Row],[Gender]]="Female","Feminino","Masculino")</f>
        <v>Feminino</v>
      </c>
      <c r="AK1026" t="str" cm="1">
        <f t="array" ref="AK1026">_xlfn.IFS(H1026="Life Sciences", "Ciências da Vida", H1026="Other", "Outro", H1026="Medical", "Médico", H1026="Technical Degree", "Curso Técnico", H1026="Marketing", "Marketing", H1026="Human Resources", "Recursos Humanos")</f>
        <v>Médico</v>
      </c>
      <c r="AL1026" t="str" cm="1">
        <f t="array" ref="AL10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27" spans="1:38" x14ac:dyDescent="0.25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IF(tbRh[[#This Row],[Gender]]="Female","Feminino","Masculino")</f>
        <v>Feminino</v>
      </c>
      <c r="AK1027" t="str" cm="1">
        <f t="array" ref="AK1027">_xlfn.IFS(H1027="Life Sciences", "Ciências da Vida", H1027="Other", "Outro", H1027="Medical", "Médico", H1027="Technical Degree", "Curso Técnico", H1027="Marketing", "Marketing", H1027="Human Resources", "Recursos Humanos")</f>
        <v>Médico</v>
      </c>
      <c r="AL1027" t="str" cm="1">
        <f t="array" ref="AL102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28" spans="1:38" x14ac:dyDescent="0.25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IF(tbRh[[#This Row],[Gender]]="Female","Feminino","Masculino")</f>
        <v>Masculino</v>
      </c>
      <c r="AK1028" t="str" cm="1">
        <f t="array" ref="AK1028">_xlfn.IFS(H1028="Life Sciences", "Ciências da Vida", H1028="Other", "Outro", H1028="Medical", "Médico", H1028="Technical Degree", "Curso Técnico", H1028="Marketing", "Marketing", H1028="Human Resources", "Recursos Humanos")</f>
        <v>Marketing</v>
      </c>
      <c r="AL1028" t="str" cm="1">
        <f t="array" ref="AL102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29" spans="1:38" x14ac:dyDescent="0.25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IF(tbRh[[#This Row],[Gender]]="Female","Feminino","Masculino")</f>
        <v>Feminino</v>
      </c>
      <c r="AK1029" t="str" cm="1">
        <f t="array" ref="AK1029">_xlfn.IFS(H1029="Life Sciences", "Ciências da Vida", H1029="Other", "Outro", H1029="Medical", "Médico", H1029="Technical Degree", "Curso Técnico", H1029="Marketing", "Marketing", H1029="Human Resources", "Recursos Humanos")</f>
        <v>Ciências da Vida</v>
      </c>
      <c r="AL1029" t="str" cm="1">
        <f t="array" ref="AL10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0" spans="1:38" x14ac:dyDescent="0.25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IF(tbRh[[#This Row],[Gender]]="Female","Feminino","Masculino")</f>
        <v>Masculino</v>
      </c>
      <c r="AK1030" t="str" cm="1">
        <f t="array" ref="AK1030">_xlfn.IFS(H1030="Life Sciences", "Ciências da Vida", H1030="Other", "Outro", H1030="Medical", "Médico", H1030="Technical Degree", "Curso Técnico", H1030="Marketing", "Marketing", H1030="Human Resources", "Recursos Humanos")</f>
        <v>Médico</v>
      </c>
      <c r="AL1030" t="str" cm="1">
        <f t="array" ref="AL10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1" spans="1:38" x14ac:dyDescent="0.25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IF(tbRh[[#This Row],[Gender]]="Female","Feminino","Masculino")</f>
        <v>Masculino</v>
      </c>
      <c r="AK1031" t="str" cm="1">
        <f t="array" ref="AK1031">_xlfn.IFS(H1031="Life Sciences", "Ciências da Vida", H1031="Other", "Outro", H1031="Medical", "Médico", H1031="Technical Degree", "Curso Técnico", H1031="Marketing", "Marketing", H1031="Human Resources", "Recursos Humanos")</f>
        <v>Outro</v>
      </c>
      <c r="AL1031" t="str" cm="1">
        <f t="array" ref="AL10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2" spans="1:38" x14ac:dyDescent="0.25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IF(tbRh[[#This Row],[Gender]]="Female","Feminino","Masculino")</f>
        <v>Masculino</v>
      </c>
      <c r="AK1032" t="str" cm="1">
        <f t="array" ref="AK1032">_xlfn.IFS(H1032="Life Sciences", "Ciências da Vida", H1032="Other", "Outro", H1032="Medical", "Médico", H1032="Technical Degree", "Curso Técnico", H1032="Marketing", "Marketing", H1032="Human Resources", "Recursos Humanos")</f>
        <v>Ciências da Vida</v>
      </c>
      <c r="AL1032" t="str" cm="1">
        <f t="array" ref="AL103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33" spans="1:38" x14ac:dyDescent="0.25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IF(tbRh[[#This Row],[Gender]]="Female","Feminino","Masculino")</f>
        <v>Masculino</v>
      </c>
      <c r="AK1033" t="str" cm="1">
        <f t="array" ref="AK1033">_xlfn.IFS(H1033="Life Sciences", "Ciências da Vida", H1033="Other", "Outro", H1033="Medical", "Médico", H1033="Technical Degree", "Curso Técnico", H1033="Marketing", "Marketing", H1033="Human Resources", "Recursos Humanos")</f>
        <v>Marketing</v>
      </c>
      <c r="AL1033" t="str" cm="1">
        <f t="array" ref="AL103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34" spans="1:38" x14ac:dyDescent="0.25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IF(tbRh[[#This Row],[Gender]]="Female","Feminino","Masculino")</f>
        <v>Feminino</v>
      </c>
      <c r="AK1034" t="str" cm="1">
        <f t="array" ref="AK1034">_xlfn.IFS(H1034="Life Sciences", "Ciências da Vida", H1034="Other", "Outro", H1034="Medical", "Médico", H1034="Technical Degree", "Curso Técnico", H1034="Marketing", "Marketing", H1034="Human Resources", "Recursos Humanos")</f>
        <v>Ciências da Vida</v>
      </c>
      <c r="AL1034" t="str" cm="1">
        <f t="array" ref="AL10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5" spans="1:38" x14ac:dyDescent="0.25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IF(tbRh[[#This Row],[Gender]]="Female","Feminino","Masculino")</f>
        <v>Feminino</v>
      </c>
      <c r="AK1035" t="str" cm="1">
        <f t="array" ref="AK1035">_xlfn.IFS(H1035="Life Sciences", "Ciências da Vida", H1035="Other", "Outro", H1035="Medical", "Médico", H1035="Technical Degree", "Curso Técnico", H1035="Marketing", "Marketing", H1035="Human Resources", "Recursos Humanos")</f>
        <v>Ciências da Vida</v>
      </c>
      <c r="AL1035" t="str" cm="1">
        <f t="array" ref="AL10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6" spans="1:38" x14ac:dyDescent="0.25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IF(tbRh[[#This Row],[Gender]]="Female","Feminino","Masculino")</f>
        <v>Masculino</v>
      </c>
      <c r="AK1036" t="str" cm="1">
        <f t="array" ref="AK1036">_xlfn.IFS(H1036="Life Sciences", "Ciências da Vida", H1036="Other", "Outro", H1036="Medical", "Médico", H1036="Technical Degree", "Curso Técnico", H1036="Marketing", "Marketing", H1036="Human Resources", "Recursos Humanos")</f>
        <v>Médico</v>
      </c>
      <c r="AL1036" t="str" cm="1">
        <f t="array" ref="AL10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7" spans="1:38" x14ac:dyDescent="0.25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IF(tbRh[[#This Row],[Gender]]="Female","Feminino","Masculino")</f>
        <v>Feminino</v>
      </c>
      <c r="AK1037" t="str" cm="1">
        <f t="array" ref="AK1037">_xlfn.IFS(H1037="Life Sciences", "Ciências da Vida", H1037="Other", "Outro", H1037="Medical", "Médico", H1037="Technical Degree", "Curso Técnico", H1037="Marketing", "Marketing", H1037="Human Resources", "Recursos Humanos")</f>
        <v>Médico</v>
      </c>
      <c r="AL1037" t="str" cm="1">
        <f t="array" ref="AL103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38" spans="1:38" x14ac:dyDescent="0.25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IF(tbRh[[#This Row],[Gender]]="Female","Feminino","Masculino")</f>
        <v>Masculino</v>
      </c>
      <c r="AK1038" t="str" cm="1">
        <f t="array" ref="AK1038">_xlfn.IFS(H1038="Life Sciences", "Ciências da Vida", H1038="Other", "Outro", H1038="Medical", "Médico", H1038="Technical Degree", "Curso Técnico", H1038="Marketing", "Marketing", H1038="Human Resources", "Recursos Humanos")</f>
        <v>Ciências da Vida</v>
      </c>
      <c r="AL1038" t="str" cm="1">
        <f t="array" ref="AL10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39" spans="1:38" x14ac:dyDescent="0.25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IF(tbRh[[#This Row],[Gender]]="Female","Feminino","Masculino")</f>
        <v>Masculino</v>
      </c>
      <c r="AK1039" t="str" cm="1">
        <f t="array" ref="AK1039">_xlfn.IFS(H1039="Life Sciences", "Ciências da Vida", H1039="Other", "Outro", H1039="Medical", "Médico", H1039="Technical Degree", "Curso Técnico", H1039="Marketing", "Marketing", H1039="Human Resources", "Recursos Humanos")</f>
        <v>Curso Técnico</v>
      </c>
      <c r="AL1039" t="str" cm="1">
        <f t="array" ref="AL10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0" spans="1:38" x14ac:dyDescent="0.25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IF(tbRh[[#This Row],[Gender]]="Female","Feminino","Masculino")</f>
        <v>Masculino</v>
      </c>
      <c r="AK1040" t="str" cm="1">
        <f t="array" ref="AK1040">_xlfn.IFS(H1040="Life Sciences", "Ciências da Vida", H1040="Other", "Outro", H1040="Medical", "Médico", H1040="Technical Degree", "Curso Técnico", H1040="Marketing", "Marketing", H1040="Human Resources", "Recursos Humanos")</f>
        <v>Marketing</v>
      </c>
      <c r="AL1040" t="str" cm="1">
        <f t="array" ref="AL10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41" spans="1:38" x14ac:dyDescent="0.25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IF(tbRh[[#This Row],[Gender]]="Female","Feminino","Masculino")</f>
        <v>Feminino</v>
      </c>
      <c r="AK1041" t="str" cm="1">
        <f t="array" ref="AK1041">_xlfn.IFS(H1041="Life Sciences", "Ciências da Vida", H1041="Other", "Outro", H1041="Medical", "Médico", H1041="Technical Degree", "Curso Técnico", H1041="Marketing", "Marketing", H1041="Human Resources", "Recursos Humanos")</f>
        <v>Curso Técnico</v>
      </c>
      <c r="AL1041" t="str" cm="1">
        <f t="array" ref="AL104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42" spans="1:38" x14ac:dyDescent="0.25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IF(tbRh[[#This Row],[Gender]]="Female","Feminino","Masculino")</f>
        <v>Masculino</v>
      </c>
      <c r="AK1042" t="str" cm="1">
        <f t="array" ref="AK1042">_xlfn.IFS(H1042="Life Sciences", "Ciências da Vida", H1042="Other", "Outro", H1042="Medical", "Médico", H1042="Technical Degree", "Curso Técnico", H1042="Marketing", "Marketing", H1042="Human Resources", "Recursos Humanos")</f>
        <v>Médico</v>
      </c>
      <c r="AL1042" t="str" cm="1">
        <f t="array" ref="AL10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3" spans="1:38" x14ac:dyDescent="0.25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IF(tbRh[[#This Row],[Gender]]="Female","Feminino","Masculino")</f>
        <v>Masculino</v>
      </c>
      <c r="AK1043" t="str" cm="1">
        <f t="array" ref="AK1043">_xlfn.IFS(H1043="Life Sciences", "Ciências da Vida", H1043="Other", "Outro", H1043="Medical", "Médico", H1043="Technical Degree", "Curso Técnico", H1043="Marketing", "Marketing", H1043="Human Resources", "Recursos Humanos")</f>
        <v>Médico</v>
      </c>
      <c r="AL1043" t="str" cm="1">
        <f t="array" ref="AL104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44" spans="1:38" x14ac:dyDescent="0.25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IF(tbRh[[#This Row],[Gender]]="Female","Feminino","Masculino")</f>
        <v>Masculino</v>
      </c>
      <c r="AK1044" t="str" cm="1">
        <f t="array" ref="AK1044">_xlfn.IFS(H1044="Life Sciences", "Ciências da Vida", H1044="Other", "Outro", H1044="Medical", "Médico", H1044="Technical Degree", "Curso Técnico", H1044="Marketing", "Marketing", H1044="Human Resources", "Recursos Humanos")</f>
        <v>Ciências da Vida</v>
      </c>
      <c r="AL1044" t="str" cm="1">
        <f t="array" ref="AL10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5" spans="1:38" x14ac:dyDescent="0.25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IF(tbRh[[#This Row],[Gender]]="Female","Feminino","Masculino")</f>
        <v>Masculino</v>
      </c>
      <c r="AK1045" t="str" cm="1">
        <f t="array" ref="AK1045">_xlfn.IFS(H1045="Life Sciences", "Ciências da Vida", H1045="Other", "Outro", H1045="Medical", "Médico", H1045="Technical Degree", "Curso Técnico", H1045="Marketing", "Marketing", H1045="Human Resources", "Recursos Humanos")</f>
        <v>Médico</v>
      </c>
      <c r="AL1045" t="str" cm="1">
        <f t="array" ref="AL10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6" spans="1:38" x14ac:dyDescent="0.25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IF(tbRh[[#This Row],[Gender]]="Female","Feminino","Masculino")</f>
        <v>Masculino</v>
      </c>
      <c r="AK1046" t="str" cm="1">
        <f t="array" ref="AK1046">_xlfn.IFS(H1046="Life Sciences", "Ciências da Vida", H1046="Other", "Outro", H1046="Medical", "Médico", H1046="Technical Degree", "Curso Técnico", H1046="Marketing", "Marketing", H1046="Human Resources", "Recursos Humanos")</f>
        <v>Curso Técnico</v>
      </c>
      <c r="AL1046" t="str" cm="1">
        <f t="array" ref="AL10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7" spans="1:38" x14ac:dyDescent="0.25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IF(tbRh[[#This Row],[Gender]]="Female","Feminino","Masculino")</f>
        <v>Masculino</v>
      </c>
      <c r="AK1047" t="str" cm="1">
        <f t="array" ref="AK1047">_xlfn.IFS(H1047="Life Sciences", "Ciências da Vida", H1047="Other", "Outro", H1047="Medical", "Médico", H1047="Technical Degree", "Curso Técnico", H1047="Marketing", "Marketing", H1047="Human Resources", "Recursos Humanos")</f>
        <v>Médico</v>
      </c>
      <c r="AL1047" t="str" cm="1">
        <f t="array" ref="AL10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8" spans="1:38" x14ac:dyDescent="0.25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IF(tbRh[[#This Row],[Gender]]="Female","Feminino","Masculino")</f>
        <v>Masculino</v>
      </c>
      <c r="AK1048" t="str" cm="1">
        <f t="array" ref="AK1048">_xlfn.IFS(H1048="Life Sciences", "Ciências da Vida", H1048="Other", "Outro", H1048="Medical", "Médico", H1048="Technical Degree", "Curso Técnico", H1048="Marketing", "Marketing", H1048="Human Resources", "Recursos Humanos")</f>
        <v>Ciências da Vida</v>
      </c>
      <c r="AL1048" t="str" cm="1">
        <f t="array" ref="AL10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49" spans="1:38" x14ac:dyDescent="0.25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IF(tbRh[[#This Row],[Gender]]="Female","Feminino","Masculino")</f>
        <v>Masculino</v>
      </c>
      <c r="AK1049" t="str" cm="1">
        <f t="array" ref="AK1049">_xlfn.IFS(H1049="Life Sciences", "Ciências da Vida", H1049="Other", "Outro", H1049="Medical", "Médico", H1049="Technical Degree", "Curso Técnico", H1049="Marketing", "Marketing", H1049="Human Resources", "Recursos Humanos")</f>
        <v>Médico</v>
      </c>
      <c r="AL1049" t="str" cm="1">
        <f t="array" ref="AL10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50" spans="1:38" x14ac:dyDescent="0.25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IF(tbRh[[#This Row],[Gender]]="Female","Feminino","Masculino")</f>
        <v>Masculino</v>
      </c>
      <c r="AK1050" t="str" cm="1">
        <f t="array" ref="AK1050">_xlfn.IFS(H1050="Life Sciences", "Ciências da Vida", H1050="Other", "Outro", H1050="Medical", "Médico", H1050="Technical Degree", "Curso Técnico", H1050="Marketing", "Marketing", H1050="Human Resources", "Recursos Humanos")</f>
        <v>Outro</v>
      </c>
      <c r="AL1050" t="str" cm="1">
        <f t="array" ref="AL105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51" spans="1:38" x14ac:dyDescent="0.25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IF(tbRh[[#This Row],[Gender]]="Female","Feminino","Masculino")</f>
        <v>Masculino</v>
      </c>
      <c r="AK1051" t="str" cm="1">
        <f t="array" ref="AK1051">_xlfn.IFS(H1051="Life Sciences", "Ciências da Vida", H1051="Other", "Outro", H1051="Medical", "Médico", H1051="Technical Degree", "Curso Técnico", H1051="Marketing", "Marketing", H1051="Human Resources", "Recursos Humanos")</f>
        <v>Ciências da Vida</v>
      </c>
      <c r="AL1051" t="str" cm="1">
        <f t="array" ref="AL105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52" spans="1:38" x14ac:dyDescent="0.25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IF(tbRh[[#This Row],[Gender]]="Female","Feminino","Masculino")</f>
        <v>Feminino</v>
      </c>
      <c r="AK1052" t="str" cm="1">
        <f t="array" ref="AK1052">_xlfn.IFS(H1052="Life Sciences", "Ciências da Vida", H1052="Other", "Outro", H1052="Medical", "Médico", H1052="Technical Degree", "Curso Técnico", H1052="Marketing", "Marketing", H1052="Human Resources", "Recursos Humanos")</f>
        <v>Médico</v>
      </c>
      <c r="AL1052" t="str" cm="1">
        <f t="array" ref="AL10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53" spans="1:38" x14ac:dyDescent="0.25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IF(tbRh[[#This Row],[Gender]]="Female","Feminino","Masculino")</f>
        <v>Feminino</v>
      </c>
      <c r="AK1053" t="str" cm="1">
        <f t="array" ref="AK1053">_xlfn.IFS(H1053="Life Sciences", "Ciências da Vida", H1053="Other", "Outro", H1053="Medical", "Médico", H1053="Technical Degree", "Curso Técnico", H1053="Marketing", "Marketing", H1053="Human Resources", "Recursos Humanos")</f>
        <v>Marketing</v>
      </c>
      <c r="AL1053" t="str" cm="1">
        <f t="array" ref="AL10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54" spans="1:38" x14ac:dyDescent="0.25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IF(tbRh[[#This Row],[Gender]]="Female","Feminino","Masculino")</f>
        <v>Masculino</v>
      </c>
      <c r="AK1054" t="str" cm="1">
        <f t="array" ref="AK1054">_xlfn.IFS(H1054="Life Sciences", "Ciências da Vida", H1054="Other", "Outro", H1054="Medical", "Médico", H1054="Technical Degree", "Curso Técnico", H1054="Marketing", "Marketing", H1054="Human Resources", "Recursos Humanos")</f>
        <v>Curso Técnico</v>
      </c>
      <c r="AL1054" t="str" cm="1">
        <f t="array" ref="AL10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55" spans="1:38" x14ac:dyDescent="0.25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IF(tbRh[[#This Row],[Gender]]="Female","Feminino","Masculino")</f>
        <v>Masculino</v>
      </c>
      <c r="AK1055" t="str" cm="1">
        <f t="array" ref="AK1055">_xlfn.IFS(H1055="Life Sciences", "Ciências da Vida", H1055="Other", "Outro", H1055="Medical", "Médico", H1055="Technical Degree", "Curso Técnico", H1055="Marketing", "Marketing", H1055="Human Resources", "Recursos Humanos")</f>
        <v>Ciências da Vida</v>
      </c>
      <c r="AL1055" t="str" cm="1">
        <f t="array" ref="AL10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56" spans="1:38" x14ac:dyDescent="0.25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IF(tbRh[[#This Row],[Gender]]="Female","Feminino","Masculino")</f>
        <v>Masculino</v>
      </c>
      <c r="AK1056" t="str" cm="1">
        <f t="array" ref="AK1056">_xlfn.IFS(H1056="Life Sciences", "Ciências da Vida", H1056="Other", "Outro", H1056="Medical", "Médico", H1056="Technical Degree", "Curso Técnico", H1056="Marketing", "Marketing", H1056="Human Resources", "Recursos Humanos")</f>
        <v>Ciências da Vida</v>
      </c>
      <c r="AL1056" t="str" cm="1">
        <f t="array" ref="AL105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57" spans="1:38" x14ac:dyDescent="0.25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IF(tbRh[[#This Row],[Gender]]="Female","Feminino","Masculino")</f>
        <v>Masculino</v>
      </c>
      <c r="AK1057" t="str" cm="1">
        <f t="array" ref="AK1057">_xlfn.IFS(H1057="Life Sciences", "Ciências da Vida", H1057="Other", "Outro", H1057="Medical", "Médico", H1057="Technical Degree", "Curso Técnico", H1057="Marketing", "Marketing", H1057="Human Resources", "Recursos Humanos")</f>
        <v>Médico</v>
      </c>
      <c r="AL1057" t="str" cm="1">
        <f t="array" ref="AL10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58" spans="1:38" x14ac:dyDescent="0.25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IF(tbRh[[#This Row],[Gender]]="Female","Feminino","Masculino")</f>
        <v>Masculino</v>
      </c>
      <c r="AK1058" t="str" cm="1">
        <f t="array" ref="AK1058">_xlfn.IFS(H1058="Life Sciences", "Ciências da Vida", H1058="Other", "Outro", H1058="Medical", "Médico", H1058="Technical Degree", "Curso Técnico", H1058="Marketing", "Marketing", H1058="Human Resources", "Recursos Humanos")</f>
        <v>Curso Técnico</v>
      </c>
      <c r="AL1058" t="str" cm="1">
        <f t="array" ref="AL105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59" spans="1:38" x14ac:dyDescent="0.25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IF(tbRh[[#This Row],[Gender]]="Female","Feminino","Masculino")</f>
        <v>Feminino</v>
      </c>
      <c r="AK1059" t="str" cm="1">
        <f t="array" ref="AK1059">_xlfn.IFS(H1059="Life Sciences", "Ciências da Vida", H1059="Other", "Outro", H1059="Medical", "Médico", H1059="Technical Degree", "Curso Técnico", H1059="Marketing", "Marketing", H1059="Human Resources", "Recursos Humanos")</f>
        <v>Curso Técnico</v>
      </c>
      <c r="AL1059" t="str" cm="1">
        <f t="array" ref="AL105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60" spans="1:38" x14ac:dyDescent="0.25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IF(tbRh[[#This Row],[Gender]]="Female","Feminino","Masculino")</f>
        <v>Feminino</v>
      </c>
      <c r="AK1060" t="str" cm="1">
        <f t="array" ref="AK1060">_xlfn.IFS(H1060="Life Sciences", "Ciências da Vida", H1060="Other", "Outro", H1060="Medical", "Médico", H1060="Technical Degree", "Curso Técnico", H1060="Marketing", "Marketing", H1060="Human Resources", "Recursos Humanos")</f>
        <v>Médico</v>
      </c>
      <c r="AL1060" t="str" cm="1">
        <f t="array" ref="AL106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61" spans="1:38" x14ac:dyDescent="0.25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IF(tbRh[[#This Row],[Gender]]="Female","Feminino","Masculino")</f>
        <v>Masculino</v>
      </c>
      <c r="AK1061" t="str" cm="1">
        <f t="array" ref="AK1061">_xlfn.IFS(H1061="Life Sciences", "Ciências da Vida", H1061="Other", "Outro", H1061="Medical", "Médico", H1061="Technical Degree", "Curso Técnico", H1061="Marketing", "Marketing", H1061="Human Resources", "Recursos Humanos")</f>
        <v>Ciências da Vida</v>
      </c>
      <c r="AL1061" t="str" cm="1">
        <f t="array" ref="AL106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62" spans="1:38" x14ac:dyDescent="0.25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IF(tbRh[[#This Row],[Gender]]="Female","Feminino","Masculino")</f>
        <v>Masculino</v>
      </c>
      <c r="AK1062" t="str" cm="1">
        <f t="array" ref="AK1062">_xlfn.IFS(H1062="Life Sciences", "Ciências da Vida", H1062="Other", "Outro", H1062="Medical", "Médico", H1062="Technical Degree", "Curso Técnico", H1062="Marketing", "Marketing", H1062="Human Resources", "Recursos Humanos")</f>
        <v>Médico</v>
      </c>
      <c r="AL1062" t="str" cm="1">
        <f t="array" ref="AL10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63" spans="1:38" x14ac:dyDescent="0.25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IF(tbRh[[#This Row],[Gender]]="Female","Feminino","Masculino")</f>
        <v>Feminino</v>
      </c>
      <c r="AK1063" t="str" cm="1">
        <f t="array" ref="AK1063">_xlfn.IFS(H1063="Life Sciences", "Ciências da Vida", H1063="Other", "Outro", H1063="Medical", "Médico", H1063="Technical Degree", "Curso Técnico", H1063="Marketing", "Marketing", H1063="Human Resources", "Recursos Humanos")</f>
        <v>Ciências da Vida</v>
      </c>
      <c r="AL1063" t="str" cm="1">
        <f t="array" ref="AL106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64" spans="1:38" x14ac:dyDescent="0.25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IF(tbRh[[#This Row],[Gender]]="Female","Feminino","Masculino")</f>
        <v>Masculino</v>
      </c>
      <c r="AK1064" t="str" cm="1">
        <f t="array" ref="AK1064">_xlfn.IFS(H1064="Life Sciences", "Ciências da Vida", H1064="Other", "Outro", H1064="Medical", "Médico", H1064="Technical Degree", "Curso Técnico", H1064="Marketing", "Marketing", H1064="Human Resources", "Recursos Humanos")</f>
        <v>Médico</v>
      </c>
      <c r="AL1064" t="str" cm="1">
        <f t="array" ref="AL10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65" spans="1:38" x14ac:dyDescent="0.25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IF(tbRh[[#This Row],[Gender]]="Female","Feminino","Masculino")</f>
        <v>Masculino</v>
      </c>
      <c r="AK1065" t="str" cm="1">
        <f t="array" ref="AK1065">_xlfn.IFS(H1065="Life Sciences", "Ciências da Vida", H1065="Other", "Outro", H1065="Medical", "Médico", H1065="Technical Degree", "Curso Técnico", H1065="Marketing", "Marketing", H1065="Human Resources", "Recursos Humanos")</f>
        <v>Ciências da Vida</v>
      </c>
      <c r="AL1065" t="str" cm="1">
        <f t="array" ref="AL10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66" spans="1:38" x14ac:dyDescent="0.25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IF(tbRh[[#This Row],[Gender]]="Female","Feminino","Masculino")</f>
        <v>Masculino</v>
      </c>
      <c r="AK1066" t="str" cm="1">
        <f t="array" ref="AK1066">_xlfn.IFS(H1066="Life Sciences", "Ciências da Vida", H1066="Other", "Outro", H1066="Medical", "Médico", H1066="Technical Degree", "Curso Técnico", H1066="Marketing", "Marketing", H1066="Human Resources", "Recursos Humanos")</f>
        <v>Ciências da Vida</v>
      </c>
      <c r="AL1066" t="str" cm="1">
        <f t="array" ref="AL1066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67" spans="1:38" x14ac:dyDescent="0.25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IF(tbRh[[#This Row],[Gender]]="Female","Feminino","Masculino")</f>
        <v>Masculino</v>
      </c>
      <c r="AK1067" t="str" cm="1">
        <f t="array" ref="AK1067">_xlfn.IFS(H1067="Life Sciences", "Ciências da Vida", H1067="Other", "Outro", H1067="Medical", "Médico", H1067="Technical Degree", "Curso Técnico", H1067="Marketing", "Marketing", H1067="Human Resources", "Recursos Humanos")</f>
        <v>Ciências da Vida</v>
      </c>
      <c r="AL1067" t="str" cm="1">
        <f t="array" ref="AL10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68" spans="1:38" x14ac:dyDescent="0.25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IF(tbRh[[#This Row],[Gender]]="Female","Feminino","Masculino")</f>
        <v>Feminino</v>
      </c>
      <c r="AK1068" t="str" cm="1">
        <f t="array" ref="AK1068">_xlfn.IFS(H1068="Life Sciences", "Ciências da Vida", H1068="Other", "Outro", H1068="Medical", "Médico", H1068="Technical Degree", "Curso Técnico", H1068="Marketing", "Marketing", H1068="Human Resources", "Recursos Humanos")</f>
        <v>Médico</v>
      </c>
      <c r="AL1068" t="str" cm="1">
        <f t="array" ref="AL10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69" spans="1:38" x14ac:dyDescent="0.25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IF(tbRh[[#This Row],[Gender]]="Female","Feminino","Masculino")</f>
        <v>Feminino</v>
      </c>
      <c r="AK1069" t="str" cm="1">
        <f t="array" ref="AK1069">_xlfn.IFS(H1069="Life Sciences", "Ciências da Vida", H1069="Other", "Outro", H1069="Medical", "Médico", H1069="Technical Degree", "Curso Técnico", H1069="Marketing", "Marketing", H1069="Human Resources", "Recursos Humanos")</f>
        <v>Médico</v>
      </c>
      <c r="AL1069" t="str" cm="1">
        <f t="array" ref="AL106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70" spans="1:38" x14ac:dyDescent="0.25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IF(tbRh[[#This Row],[Gender]]="Female","Feminino","Masculino")</f>
        <v>Masculino</v>
      </c>
      <c r="AK1070" t="str" cm="1">
        <f t="array" ref="AK1070">_xlfn.IFS(H1070="Life Sciences", "Ciências da Vida", H1070="Other", "Outro", H1070="Medical", "Médico", H1070="Technical Degree", "Curso Técnico", H1070="Marketing", "Marketing", H1070="Human Resources", "Recursos Humanos")</f>
        <v>Médico</v>
      </c>
      <c r="AL1070" t="str" cm="1">
        <f t="array" ref="AL10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1" spans="1:38" x14ac:dyDescent="0.25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IF(tbRh[[#This Row],[Gender]]="Female","Feminino","Masculino")</f>
        <v>Masculino</v>
      </c>
      <c r="AK1071" t="str" cm="1">
        <f t="array" ref="AK1071">_xlfn.IFS(H1071="Life Sciences", "Ciências da Vida", H1071="Other", "Outro", H1071="Medical", "Médico", H1071="Technical Degree", "Curso Técnico", H1071="Marketing", "Marketing", H1071="Human Resources", "Recursos Humanos")</f>
        <v>Ciências da Vida</v>
      </c>
      <c r="AL1071" t="str" cm="1">
        <f t="array" ref="AL10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2" spans="1:38" x14ac:dyDescent="0.25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IF(tbRh[[#This Row],[Gender]]="Female","Feminino","Masculino")</f>
        <v>Masculino</v>
      </c>
      <c r="AK1072" t="str" cm="1">
        <f t="array" ref="AK1072">_xlfn.IFS(H1072="Life Sciences", "Ciências da Vida", H1072="Other", "Outro", H1072="Medical", "Médico", H1072="Technical Degree", "Curso Técnico", H1072="Marketing", "Marketing", H1072="Human Resources", "Recursos Humanos")</f>
        <v>Ciências da Vida</v>
      </c>
      <c r="AL1072" t="str" cm="1">
        <f t="array" ref="AL10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73" spans="1:38" x14ac:dyDescent="0.25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IF(tbRh[[#This Row],[Gender]]="Female","Feminino","Masculino")</f>
        <v>Feminino</v>
      </c>
      <c r="AK1073" t="str" cm="1">
        <f t="array" ref="AK1073">_xlfn.IFS(H1073="Life Sciences", "Ciências da Vida", H1073="Other", "Outro", H1073="Medical", "Médico", H1073="Technical Degree", "Curso Técnico", H1073="Marketing", "Marketing", H1073="Human Resources", "Recursos Humanos")</f>
        <v>Médico</v>
      </c>
      <c r="AL1073" t="str" cm="1">
        <f t="array" ref="AL10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4" spans="1:38" x14ac:dyDescent="0.25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IF(tbRh[[#This Row],[Gender]]="Female","Feminino","Masculino")</f>
        <v>Feminino</v>
      </c>
      <c r="AK1074" t="str" cm="1">
        <f t="array" ref="AK1074">_xlfn.IFS(H1074="Life Sciences", "Ciências da Vida", H1074="Other", "Outro", H1074="Medical", "Médico", H1074="Technical Degree", "Curso Técnico", H1074="Marketing", "Marketing", H1074="Human Resources", "Recursos Humanos")</f>
        <v>Ciências da Vida</v>
      </c>
      <c r="AL1074" t="str" cm="1">
        <f t="array" ref="AL10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5" spans="1:38" x14ac:dyDescent="0.25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IF(tbRh[[#This Row],[Gender]]="Female","Feminino","Masculino")</f>
        <v>Masculino</v>
      </c>
      <c r="AK1075" t="str" cm="1">
        <f t="array" ref="AK1075">_xlfn.IFS(H1075="Life Sciences", "Ciências da Vida", H1075="Other", "Outro", H1075="Medical", "Médico", H1075="Technical Degree", "Curso Técnico", H1075="Marketing", "Marketing", H1075="Human Resources", "Recursos Humanos")</f>
        <v>Ciências da Vida</v>
      </c>
      <c r="AL1075" t="str" cm="1">
        <f t="array" ref="AL10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6" spans="1:38" x14ac:dyDescent="0.25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IF(tbRh[[#This Row],[Gender]]="Female","Feminino","Masculino")</f>
        <v>Masculino</v>
      </c>
      <c r="AK1076" t="str" cm="1">
        <f t="array" ref="AK1076">_xlfn.IFS(H1076="Life Sciences", "Ciências da Vida", H1076="Other", "Outro", H1076="Medical", "Médico", H1076="Technical Degree", "Curso Técnico", H1076="Marketing", "Marketing", H1076="Human Resources", "Recursos Humanos")</f>
        <v>Ciências da Vida</v>
      </c>
      <c r="AL1076" t="str" cm="1">
        <f t="array" ref="AL10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7" spans="1:38" x14ac:dyDescent="0.25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IF(tbRh[[#This Row],[Gender]]="Female","Feminino","Masculino")</f>
        <v>Masculino</v>
      </c>
      <c r="AK1077" t="str" cm="1">
        <f t="array" ref="AK1077">_xlfn.IFS(H1077="Life Sciences", "Ciências da Vida", H1077="Other", "Outro", H1077="Medical", "Médico", H1077="Technical Degree", "Curso Técnico", H1077="Marketing", "Marketing", H1077="Human Resources", "Recursos Humanos")</f>
        <v>Médico</v>
      </c>
      <c r="AL1077" t="str" cm="1">
        <f t="array" ref="AL10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8" spans="1:38" x14ac:dyDescent="0.25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IF(tbRh[[#This Row],[Gender]]="Female","Feminino","Masculino")</f>
        <v>Feminino</v>
      </c>
      <c r="AK1078" t="str" cm="1">
        <f t="array" ref="AK1078">_xlfn.IFS(H1078="Life Sciences", "Ciências da Vida", H1078="Other", "Outro", H1078="Medical", "Médico", H1078="Technical Degree", "Curso Técnico", H1078="Marketing", "Marketing", H1078="Human Resources", "Recursos Humanos")</f>
        <v>Médico</v>
      </c>
      <c r="AL1078" t="str" cm="1">
        <f t="array" ref="AL10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79" spans="1:38" x14ac:dyDescent="0.25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IF(tbRh[[#This Row],[Gender]]="Female","Feminino","Masculino")</f>
        <v>Masculino</v>
      </c>
      <c r="AK1079" t="str" cm="1">
        <f t="array" ref="AK1079">_xlfn.IFS(H1079="Life Sciences", "Ciências da Vida", H1079="Other", "Outro", H1079="Medical", "Médico", H1079="Technical Degree", "Curso Técnico", H1079="Marketing", "Marketing", H1079="Human Resources", "Recursos Humanos")</f>
        <v>Curso Técnico</v>
      </c>
      <c r="AL1079" t="str" cm="1">
        <f t="array" ref="AL10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0" spans="1:38" x14ac:dyDescent="0.25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IF(tbRh[[#This Row],[Gender]]="Female","Feminino","Masculino")</f>
        <v>Masculino</v>
      </c>
      <c r="AK1080" t="str" cm="1">
        <f t="array" ref="AK1080">_xlfn.IFS(H1080="Life Sciences", "Ciências da Vida", H1080="Other", "Outro", H1080="Medical", "Médico", H1080="Technical Degree", "Curso Técnico", H1080="Marketing", "Marketing", H1080="Human Resources", "Recursos Humanos")</f>
        <v>Ciências da Vida</v>
      </c>
      <c r="AL1080" t="str" cm="1">
        <f t="array" ref="AL10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1" spans="1:38" x14ac:dyDescent="0.25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IF(tbRh[[#This Row],[Gender]]="Female","Feminino","Masculino")</f>
        <v>Feminino</v>
      </c>
      <c r="AK1081" t="str" cm="1">
        <f t="array" ref="AK1081">_xlfn.IFS(H1081="Life Sciences", "Ciências da Vida", H1081="Other", "Outro", H1081="Medical", "Médico", H1081="Technical Degree", "Curso Técnico", H1081="Marketing", "Marketing", H1081="Human Resources", "Recursos Humanos")</f>
        <v>Ciências da Vida</v>
      </c>
      <c r="AL1081" t="str" cm="1">
        <f t="array" ref="AL10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2" spans="1:38" x14ac:dyDescent="0.25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IF(tbRh[[#This Row],[Gender]]="Female","Feminino","Masculino")</f>
        <v>Feminino</v>
      </c>
      <c r="AK1082" t="str" cm="1">
        <f t="array" ref="AK1082">_xlfn.IFS(H1082="Life Sciences", "Ciências da Vida", H1082="Other", "Outro", H1082="Medical", "Médico", H1082="Technical Degree", "Curso Técnico", H1082="Marketing", "Marketing", H1082="Human Resources", "Recursos Humanos")</f>
        <v>Ciências da Vida</v>
      </c>
      <c r="AL1082" t="str" cm="1">
        <f t="array" ref="AL108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83" spans="1:38" x14ac:dyDescent="0.25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IF(tbRh[[#This Row],[Gender]]="Female","Feminino","Masculino")</f>
        <v>Feminino</v>
      </c>
      <c r="AK1083" t="str" cm="1">
        <f t="array" ref="AK1083">_xlfn.IFS(H1083="Life Sciences", "Ciências da Vida", H1083="Other", "Outro", H1083="Medical", "Médico", H1083="Technical Degree", "Curso Técnico", H1083="Marketing", "Marketing", H1083="Human Resources", "Recursos Humanos")</f>
        <v>Ciências da Vida</v>
      </c>
      <c r="AL1083" t="str" cm="1">
        <f t="array" ref="AL10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4" spans="1:38" x14ac:dyDescent="0.25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IF(tbRh[[#This Row],[Gender]]="Female","Feminino","Masculino")</f>
        <v>Masculino</v>
      </c>
      <c r="AK1084" t="str" cm="1">
        <f t="array" ref="AK1084">_xlfn.IFS(H1084="Life Sciences", "Ciências da Vida", H1084="Other", "Outro", H1084="Medical", "Médico", H1084="Technical Degree", "Curso Técnico", H1084="Marketing", "Marketing", H1084="Human Resources", "Recursos Humanos")</f>
        <v>Ciências da Vida</v>
      </c>
      <c r="AL1084" t="str" cm="1">
        <f t="array" ref="AL10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5" spans="1:38" x14ac:dyDescent="0.25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IF(tbRh[[#This Row],[Gender]]="Female","Feminino","Masculino")</f>
        <v>Masculino</v>
      </c>
      <c r="AK1085" t="str" cm="1">
        <f t="array" ref="AK1085">_xlfn.IFS(H1085="Life Sciences", "Ciências da Vida", H1085="Other", "Outro", H1085="Medical", "Médico", H1085="Technical Degree", "Curso Técnico", H1085="Marketing", "Marketing", H1085="Human Resources", "Recursos Humanos")</f>
        <v>Ciências da Vida</v>
      </c>
      <c r="AL1085" t="str" cm="1">
        <f t="array" ref="AL10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6" spans="1:38" x14ac:dyDescent="0.25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IF(tbRh[[#This Row],[Gender]]="Female","Feminino","Masculino")</f>
        <v>Masculino</v>
      </c>
      <c r="AK1086" t="str" cm="1">
        <f t="array" ref="AK1086">_xlfn.IFS(H1086="Life Sciences", "Ciências da Vida", H1086="Other", "Outro", H1086="Medical", "Médico", H1086="Technical Degree", "Curso Técnico", H1086="Marketing", "Marketing", H1086="Human Resources", "Recursos Humanos")</f>
        <v>Curso Técnico</v>
      </c>
      <c r="AL1086" t="str" cm="1">
        <f t="array" ref="AL10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87" spans="1:38" x14ac:dyDescent="0.25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IF(tbRh[[#This Row],[Gender]]="Female","Feminino","Masculino")</f>
        <v>Feminino</v>
      </c>
      <c r="AK1087" t="str" cm="1">
        <f t="array" ref="AK1087">_xlfn.IFS(H1087="Life Sciences", "Ciências da Vida", H1087="Other", "Outro", H1087="Medical", "Médico", H1087="Technical Degree", "Curso Técnico", H1087="Marketing", "Marketing", H1087="Human Resources", "Recursos Humanos")</f>
        <v>Ciências da Vida</v>
      </c>
      <c r="AL1087" t="str" cm="1">
        <f t="array" ref="AL10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8" spans="1:38" x14ac:dyDescent="0.25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IF(tbRh[[#This Row],[Gender]]="Female","Feminino","Masculino")</f>
        <v>Masculino</v>
      </c>
      <c r="AK1088" t="str" cm="1">
        <f t="array" ref="AK1088">_xlfn.IFS(H1088="Life Sciences", "Ciências da Vida", H1088="Other", "Outro", H1088="Medical", "Médico", H1088="Technical Degree", "Curso Técnico", H1088="Marketing", "Marketing", H1088="Human Resources", "Recursos Humanos")</f>
        <v>Médico</v>
      </c>
      <c r="AL1088" t="str" cm="1">
        <f t="array" ref="AL10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89" spans="1:38" x14ac:dyDescent="0.25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IF(tbRh[[#This Row],[Gender]]="Female","Feminino","Masculino")</f>
        <v>Masculino</v>
      </c>
      <c r="AK1089" t="str" cm="1">
        <f t="array" ref="AK1089">_xlfn.IFS(H1089="Life Sciences", "Ciências da Vida", H1089="Other", "Outro", H1089="Medical", "Médico", H1089="Technical Degree", "Curso Técnico", H1089="Marketing", "Marketing", H1089="Human Resources", "Recursos Humanos")</f>
        <v>Curso Técnico</v>
      </c>
      <c r="AL1089" t="str" cm="1">
        <f t="array" ref="AL108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90" spans="1:38" x14ac:dyDescent="0.25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IF(tbRh[[#This Row],[Gender]]="Female","Feminino","Masculino")</f>
        <v>Masculino</v>
      </c>
      <c r="AK1090" t="str" cm="1">
        <f t="array" ref="AK1090">_xlfn.IFS(H1090="Life Sciences", "Ciências da Vida", H1090="Other", "Outro", H1090="Medical", "Médico", H1090="Technical Degree", "Curso Técnico", H1090="Marketing", "Marketing", H1090="Human Resources", "Recursos Humanos")</f>
        <v>Médico</v>
      </c>
      <c r="AL1090" t="str" cm="1">
        <f t="array" ref="AL10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1" spans="1:38" x14ac:dyDescent="0.25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IF(tbRh[[#This Row],[Gender]]="Female","Feminino","Masculino")</f>
        <v>Masculino</v>
      </c>
      <c r="AK1091" t="str" cm="1">
        <f t="array" ref="AK1091">_xlfn.IFS(H1091="Life Sciences", "Ciências da Vida", H1091="Other", "Outro", H1091="Medical", "Médico", H1091="Technical Degree", "Curso Técnico", H1091="Marketing", "Marketing", H1091="Human Resources", "Recursos Humanos")</f>
        <v>Médico</v>
      </c>
      <c r="AL1091" t="str" cm="1">
        <f t="array" ref="AL10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2" spans="1:38" x14ac:dyDescent="0.25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IF(tbRh[[#This Row],[Gender]]="Female","Feminino","Masculino")</f>
        <v>Feminino</v>
      </c>
      <c r="AK1092" t="str" cm="1">
        <f t="array" ref="AK1092">_xlfn.IFS(H1092="Life Sciences", "Ciências da Vida", H1092="Other", "Outro", H1092="Medical", "Médico", H1092="Technical Degree", "Curso Técnico", H1092="Marketing", "Marketing", H1092="Human Resources", "Recursos Humanos")</f>
        <v>Outro</v>
      </c>
      <c r="AL1092" t="str" cm="1">
        <f t="array" ref="AL10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3" spans="1:38" x14ac:dyDescent="0.25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IF(tbRh[[#This Row],[Gender]]="Female","Feminino","Masculino")</f>
        <v>Masculino</v>
      </c>
      <c r="AK1093" t="str" cm="1">
        <f t="array" ref="AK1093">_xlfn.IFS(H1093="Life Sciences", "Ciências da Vida", H1093="Other", "Outro", H1093="Medical", "Médico", H1093="Technical Degree", "Curso Técnico", H1093="Marketing", "Marketing", H1093="Human Resources", "Recursos Humanos")</f>
        <v>Ciências da Vida</v>
      </c>
      <c r="AL1093" t="str" cm="1">
        <f t="array" ref="AL10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4" spans="1:38" x14ac:dyDescent="0.25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IF(tbRh[[#This Row],[Gender]]="Female","Feminino","Masculino")</f>
        <v>Masculino</v>
      </c>
      <c r="AK1094" t="str" cm="1">
        <f t="array" ref="AK1094">_xlfn.IFS(H1094="Life Sciences", "Ciências da Vida", H1094="Other", "Outro", H1094="Medical", "Médico", H1094="Technical Degree", "Curso Técnico", H1094="Marketing", "Marketing", H1094="Human Resources", "Recursos Humanos")</f>
        <v>Curso Técnico</v>
      </c>
      <c r="AL1094" t="str" cm="1">
        <f t="array" ref="AL10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5" spans="1:38" x14ac:dyDescent="0.25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IF(tbRh[[#This Row],[Gender]]="Female","Feminino","Masculino")</f>
        <v>Masculino</v>
      </c>
      <c r="AK1095" t="str" cm="1">
        <f t="array" ref="AK1095">_xlfn.IFS(H1095="Life Sciences", "Ciências da Vida", H1095="Other", "Outro", H1095="Medical", "Médico", H1095="Technical Degree", "Curso Técnico", H1095="Marketing", "Marketing", H1095="Human Resources", "Recursos Humanos")</f>
        <v>Ciências da Vida</v>
      </c>
      <c r="AL1095" t="str" cm="1">
        <f t="array" ref="AL10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6" spans="1:38" x14ac:dyDescent="0.25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IF(tbRh[[#This Row],[Gender]]="Female","Feminino","Masculino")</f>
        <v>Masculino</v>
      </c>
      <c r="AK1096" t="str" cm="1">
        <f t="array" ref="AK1096">_xlfn.IFS(H1096="Life Sciences", "Ciências da Vida", H1096="Other", "Outro", H1096="Medical", "Médico", H1096="Technical Degree", "Curso Técnico", H1096="Marketing", "Marketing", H1096="Human Resources", "Recursos Humanos")</f>
        <v>Médico</v>
      </c>
      <c r="AL1096" t="str" cm="1">
        <f t="array" ref="AL109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097" spans="1:38" x14ac:dyDescent="0.25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IF(tbRh[[#This Row],[Gender]]="Female","Feminino","Masculino")</f>
        <v>Masculino</v>
      </c>
      <c r="AK1097" t="str" cm="1">
        <f t="array" ref="AK1097">_xlfn.IFS(H1097="Life Sciences", "Ciências da Vida", H1097="Other", "Outro", H1097="Medical", "Médico", H1097="Technical Degree", "Curso Técnico", H1097="Marketing", "Marketing", H1097="Human Resources", "Recursos Humanos")</f>
        <v>Ciências da Vida</v>
      </c>
      <c r="AL1097" t="str" cm="1">
        <f t="array" ref="AL10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098" spans="1:38" x14ac:dyDescent="0.25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IF(tbRh[[#This Row],[Gender]]="Female","Feminino","Masculino")</f>
        <v>Masculino</v>
      </c>
      <c r="AK1098" t="str" cm="1">
        <f t="array" ref="AK1098">_xlfn.IFS(H1098="Life Sciences", "Ciências da Vida", H1098="Other", "Outro", H1098="Medical", "Médico", H1098="Technical Degree", "Curso Técnico", H1098="Marketing", "Marketing", H1098="Human Resources", "Recursos Humanos")</f>
        <v>Médico</v>
      </c>
      <c r="AL1098" t="str" cm="1">
        <f t="array" ref="AL1098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099" spans="1:38" x14ac:dyDescent="0.25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IF(tbRh[[#This Row],[Gender]]="Female","Feminino","Masculino")</f>
        <v>Masculino</v>
      </c>
      <c r="AK1099" t="str" cm="1">
        <f t="array" ref="AK1099">_xlfn.IFS(H1099="Life Sciences", "Ciências da Vida", H1099="Other", "Outro", H1099="Medical", "Médico", H1099="Technical Degree", "Curso Técnico", H1099="Marketing", "Marketing", H1099="Human Resources", "Recursos Humanos")</f>
        <v>Curso Técnico</v>
      </c>
      <c r="AL1099" t="str" cm="1">
        <f t="array" ref="AL10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00" spans="1:38" x14ac:dyDescent="0.25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IF(tbRh[[#This Row],[Gender]]="Female","Feminino","Masculino")</f>
        <v>Masculino</v>
      </c>
      <c r="AK1100" t="str" cm="1">
        <f t="array" ref="AK1100">_xlfn.IFS(H1100="Life Sciences", "Ciências da Vida", H1100="Other", "Outro", H1100="Medical", "Médico", H1100="Technical Degree", "Curso Técnico", H1100="Marketing", "Marketing", H1100="Human Resources", "Recursos Humanos")</f>
        <v>Ciências da Vida</v>
      </c>
      <c r="AL1100" t="str" cm="1">
        <f t="array" ref="AL11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01" spans="1:38" x14ac:dyDescent="0.25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IF(tbRh[[#This Row],[Gender]]="Female","Feminino","Masculino")</f>
        <v>Masculino</v>
      </c>
      <c r="AK1101" t="str" cm="1">
        <f t="array" ref="AK1101">_xlfn.IFS(H1101="Life Sciences", "Ciências da Vida", H1101="Other", "Outro", H1101="Medical", "Médico", H1101="Technical Degree", "Curso Técnico", H1101="Marketing", "Marketing", H1101="Human Resources", "Recursos Humanos")</f>
        <v>Curso Técnico</v>
      </c>
      <c r="AL1101" t="str" cm="1">
        <f t="array" ref="AL11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02" spans="1:38" x14ac:dyDescent="0.25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IF(tbRh[[#This Row],[Gender]]="Female","Feminino","Masculino")</f>
        <v>Feminino</v>
      </c>
      <c r="AK1102" t="str" cm="1">
        <f t="array" ref="AK1102">_xlfn.IFS(H1102="Life Sciences", "Ciências da Vida", H1102="Other", "Outro", H1102="Medical", "Médico", H1102="Technical Degree", "Curso Técnico", H1102="Marketing", "Marketing", H1102="Human Resources", "Recursos Humanos")</f>
        <v>Ciências da Vida</v>
      </c>
      <c r="AL1102" t="str" cm="1">
        <f t="array" ref="AL110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03" spans="1:38" x14ac:dyDescent="0.25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IF(tbRh[[#This Row],[Gender]]="Female","Feminino","Masculino")</f>
        <v>Feminino</v>
      </c>
      <c r="AK1103" t="str" cm="1">
        <f t="array" ref="AK1103">_xlfn.IFS(H1103="Life Sciences", "Ciências da Vida", H1103="Other", "Outro", H1103="Medical", "Médico", H1103="Technical Degree", "Curso Técnico", H1103="Marketing", "Marketing", H1103="Human Resources", "Recursos Humanos")</f>
        <v>Ciências da Vida</v>
      </c>
      <c r="AL1103" t="str" cm="1">
        <f t="array" ref="AL11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04" spans="1:38" x14ac:dyDescent="0.25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IF(tbRh[[#This Row],[Gender]]="Female","Feminino","Masculino")</f>
        <v>Masculino</v>
      </c>
      <c r="AK1104" t="str" cm="1">
        <f t="array" ref="AK1104">_xlfn.IFS(H1104="Life Sciences", "Ciências da Vida", H1104="Other", "Outro", H1104="Medical", "Médico", H1104="Technical Degree", "Curso Técnico", H1104="Marketing", "Marketing", H1104="Human Resources", "Recursos Humanos")</f>
        <v>Ciências da Vida</v>
      </c>
      <c r="AL1104" t="str" cm="1">
        <f t="array" ref="AL110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05" spans="1:38" x14ac:dyDescent="0.25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IF(tbRh[[#This Row],[Gender]]="Female","Feminino","Masculino")</f>
        <v>Feminino</v>
      </c>
      <c r="AK1105" t="str" cm="1">
        <f t="array" ref="AK1105">_xlfn.IFS(H1105="Life Sciences", "Ciências da Vida", H1105="Other", "Outro", H1105="Medical", "Médico", H1105="Technical Degree", "Curso Técnico", H1105="Marketing", "Marketing", H1105="Human Resources", "Recursos Humanos")</f>
        <v>Ciências da Vida</v>
      </c>
      <c r="AL1105" t="str" cm="1">
        <f t="array" ref="AL110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06" spans="1:38" x14ac:dyDescent="0.25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IF(tbRh[[#This Row],[Gender]]="Female","Feminino","Masculino")</f>
        <v>Masculino</v>
      </c>
      <c r="AK1106" t="str" cm="1">
        <f t="array" ref="AK1106">_xlfn.IFS(H1106="Life Sciences", "Ciências da Vida", H1106="Other", "Outro", H1106="Medical", "Médico", H1106="Technical Degree", "Curso Técnico", H1106="Marketing", "Marketing", H1106="Human Resources", "Recursos Humanos")</f>
        <v>Ciências da Vida</v>
      </c>
      <c r="AL1106" t="str" cm="1">
        <f t="array" ref="AL11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07" spans="1:38" x14ac:dyDescent="0.25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IF(tbRh[[#This Row],[Gender]]="Female","Feminino","Masculino")</f>
        <v>Masculino</v>
      </c>
      <c r="AK1107" t="str" cm="1">
        <f t="array" ref="AK1107">_xlfn.IFS(H1107="Life Sciences", "Ciências da Vida", H1107="Other", "Outro", H1107="Medical", "Médico", H1107="Technical Degree", "Curso Técnico", H1107="Marketing", "Marketing", H1107="Human Resources", "Recursos Humanos")</f>
        <v>Ciências da Vida</v>
      </c>
      <c r="AL1107" t="str" cm="1">
        <f t="array" ref="AL110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08" spans="1:38" x14ac:dyDescent="0.25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IF(tbRh[[#This Row],[Gender]]="Female","Feminino","Masculino")</f>
        <v>Masculino</v>
      </c>
      <c r="AK1108" t="str" cm="1">
        <f t="array" ref="AK1108">_xlfn.IFS(H1108="Life Sciences", "Ciências da Vida", H1108="Other", "Outro", H1108="Medical", "Médico", H1108="Technical Degree", "Curso Técnico", H1108="Marketing", "Marketing", H1108="Human Resources", "Recursos Humanos")</f>
        <v>Ciências da Vida</v>
      </c>
      <c r="AL1108" t="str" cm="1">
        <f t="array" ref="AL110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09" spans="1:38" x14ac:dyDescent="0.25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IF(tbRh[[#This Row],[Gender]]="Female","Feminino","Masculino")</f>
        <v>Masculino</v>
      </c>
      <c r="AK1109" t="str" cm="1">
        <f t="array" ref="AK1109">_xlfn.IFS(H1109="Life Sciences", "Ciências da Vida", H1109="Other", "Outro", H1109="Medical", "Médico", H1109="Technical Degree", "Curso Técnico", H1109="Marketing", "Marketing", H1109="Human Resources", "Recursos Humanos")</f>
        <v>Recursos Humanos</v>
      </c>
      <c r="AL1109" t="str" cm="1">
        <f t="array" ref="AL1109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110" spans="1:38" x14ac:dyDescent="0.25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IF(tbRh[[#This Row],[Gender]]="Female","Feminino","Masculino")</f>
        <v>Masculino</v>
      </c>
      <c r="AK1110" t="str" cm="1">
        <f t="array" ref="AK1110">_xlfn.IFS(H1110="Life Sciences", "Ciências da Vida", H1110="Other", "Outro", H1110="Medical", "Médico", H1110="Technical Degree", "Curso Técnico", H1110="Marketing", "Marketing", H1110="Human Resources", "Recursos Humanos")</f>
        <v>Médico</v>
      </c>
      <c r="AL1110" t="str" cm="1">
        <f t="array" ref="AL11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1" spans="1:38" x14ac:dyDescent="0.25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IF(tbRh[[#This Row],[Gender]]="Female","Feminino","Masculino")</f>
        <v>Masculino</v>
      </c>
      <c r="AK1111" t="str" cm="1">
        <f t="array" ref="AK1111">_xlfn.IFS(H1111="Life Sciences", "Ciências da Vida", H1111="Other", "Outro", H1111="Medical", "Médico", H1111="Technical Degree", "Curso Técnico", H1111="Marketing", "Marketing", H1111="Human Resources", "Recursos Humanos")</f>
        <v>Curso Técnico</v>
      </c>
      <c r="AL1111" t="str" cm="1">
        <f t="array" ref="AL111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12" spans="1:38" x14ac:dyDescent="0.25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IF(tbRh[[#This Row],[Gender]]="Female","Feminino","Masculino")</f>
        <v>Feminino</v>
      </c>
      <c r="AK1112" t="str" cm="1">
        <f t="array" ref="AK1112">_xlfn.IFS(H1112="Life Sciences", "Ciências da Vida", H1112="Other", "Outro", H1112="Medical", "Médico", H1112="Technical Degree", "Curso Técnico", H1112="Marketing", "Marketing", H1112="Human Resources", "Recursos Humanos")</f>
        <v>Ciências da Vida</v>
      </c>
      <c r="AL1112" t="str" cm="1">
        <f t="array" ref="AL11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3" spans="1:38" x14ac:dyDescent="0.25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IF(tbRh[[#This Row],[Gender]]="Female","Feminino","Masculino")</f>
        <v>Feminino</v>
      </c>
      <c r="AK1113" t="str" cm="1">
        <f t="array" ref="AK1113">_xlfn.IFS(H1113="Life Sciences", "Ciências da Vida", H1113="Other", "Outro", H1113="Medical", "Médico", H1113="Technical Degree", "Curso Técnico", H1113="Marketing", "Marketing", H1113="Human Resources", "Recursos Humanos")</f>
        <v>Curso Técnico</v>
      </c>
      <c r="AL1113" t="str" cm="1">
        <f t="array" ref="AL11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4" spans="1:38" x14ac:dyDescent="0.25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IF(tbRh[[#This Row],[Gender]]="Female","Feminino","Masculino")</f>
        <v>Masculino</v>
      </c>
      <c r="AK1114" t="str" cm="1">
        <f t="array" ref="AK1114">_xlfn.IFS(H1114="Life Sciences", "Ciências da Vida", H1114="Other", "Outro", H1114="Medical", "Médico", H1114="Technical Degree", "Curso Técnico", H1114="Marketing", "Marketing", H1114="Human Resources", "Recursos Humanos")</f>
        <v>Médico</v>
      </c>
      <c r="AL1114" t="str" cm="1">
        <f t="array" ref="AL11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5" spans="1:38" x14ac:dyDescent="0.25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IF(tbRh[[#This Row],[Gender]]="Female","Feminino","Masculino")</f>
        <v>Masculino</v>
      </c>
      <c r="AK1115" t="str" cm="1">
        <f t="array" ref="AK1115">_xlfn.IFS(H1115="Life Sciences", "Ciências da Vida", H1115="Other", "Outro", H1115="Medical", "Médico", H1115="Technical Degree", "Curso Técnico", H1115="Marketing", "Marketing", H1115="Human Resources", "Recursos Humanos")</f>
        <v>Curso Técnico</v>
      </c>
      <c r="AL1115" t="str" cm="1">
        <f t="array" ref="AL11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6" spans="1:38" x14ac:dyDescent="0.25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IF(tbRh[[#This Row],[Gender]]="Female","Feminino","Masculino")</f>
        <v>Feminino</v>
      </c>
      <c r="AK1116" t="str" cm="1">
        <f t="array" ref="AK1116">_xlfn.IFS(H1116="Life Sciences", "Ciências da Vida", H1116="Other", "Outro", H1116="Medical", "Médico", H1116="Technical Degree", "Curso Técnico", H1116="Marketing", "Marketing", H1116="Human Resources", "Recursos Humanos")</f>
        <v>Outro</v>
      </c>
      <c r="AL1116" t="str" cm="1">
        <f t="array" ref="AL11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7" spans="1:38" x14ac:dyDescent="0.25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IF(tbRh[[#This Row],[Gender]]="Female","Feminino","Masculino")</f>
        <v>Masculino</v>
      </c>
      <c r="AK1117" t="str" cm="1">
        <f t="array" ref="AK1117">_xlfn.IFS(H1117="Life Sciences", "Ciências da Vida", H1117="Other", "Outro", H1117="Medical", "Médico", H1117="Technical Degree", "Curso Técnico", H1117="Marketing", "Marketing", H1117="Human Resources", "Recursos Humanos")</f>
        <v>Médico</v>
      </c>
      <c r="AL1117" t="str" cm="1">
        <f t="array" ref="AL11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18" spans="1:38" x14ac:dyDescent="0.25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IF(tbRh[[#This Row],[Gender]]="Female","Feminino","Masculino")</f>
        <v>Masculino</v>
      </c>
      <c r="AK1118" t="str" cm="1">
        <f t="array" ref="AK1118">_xlfn.IFS(H1118="Life Sciences", "Ciências da Vida", H1118="Other", "Outro", H1118="Medical", "Médico", H1118="Technical Degree", "Curso Técnico", H1118="Marketing", "Marketing", H1118="Human Resources", "Recursos Humanos")</f>
        <v>Marketing</v>
      </c>
      <c r="AL1118" t="str" cm="1">
        <f t="array" ref="AL11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19" spans="1:38" x14ac:dyDescent="0.25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IF(tbRh[[#This Row],[Gender]]="Female","Feminino","Masculino")</f>
        <v>Masculino</v>
      </c>
      <c r="AK1119" t="str" cm="1">
        <f t="array" ref="AK1119">_xlfn.IFS(H1119="Life Sciences", "Ciências da Vida", H1119="Other", "Outro", H1119="Medical", "Médico", H1119="Technical Degree", "Curso Técnico", H1119="Marketing", "Marketing", H1119="Human Resources", "Recursos Humanos")</f>
        <v>Ciências da Vida</v>
      </c>
      <c r="AL1119" t="str" cm="1">
        <f t="array" ref="AL11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20" spans="1:38" x14ac:dyDescent="0.25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IF(tbRh[[#This Row],[Gender]]="Female","Feminino","Masculino")</f>
        <v>Feminino</v>
      </c>
      <c r="AK1120" t="str" cm="1">
        <f t="array" ref="AK1120">_xlfn.IFS(H1120="Life Sciences", "Ciências da Vida", H1120="Other", "Outro", H1120="Medical", "Médico", H1120="Technical Degree", "Curso Técnico", H1120="Marketing", "Marketing", H1120="Human Resources", "Recursos Humanos")</f>
        <v>Ciências da Vida</v>
      </c>
      <c r="AL1120" t="str" cm="1">
        <f t="array" ref="AL11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21" spans="1:38" x14ac:dyDescent="0.25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IF(tbRh[[#This Row],[Gender]]="Female","Feminino","Masculino")</f>
        <v>Masculino</v>
      </c>
      <c r="AK1121" t="str" cm="1">
        <f t="array" ref="AK1121">_xlfn.IFS(H1121="Life Sciences", "Ciências da Vida", H1121="Other", "Outro", H1121="Medical", "Médico", H1121="Technical Degree", "Curso Técnico", H1121="Marketing", "Marketing", H1121="Human Resources", "Recursos Humanos")</f>
        <v>Ciências da Vida</v>
      </c>
      <c r="AL1121" t="str" cm="1">
        <f t="array" ref="AL11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22" spans="1:38" x14ac:dyDescent="0.25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IF(tbRh[[#This Row],[Gender]]="Female","Feminino","Masculino")</f>
        <v>Feminino</v>
      </c>
      <c r="AK1122" t="str" cm="1">
        <f t="array" ref="AK1122">_xlfn.IFS(H1122="Life Sciences", "Ciências da Vida", H1122="Other", "Outro", H1122="Medical", "Médico", H1122="Technical Degree", "Curso Técnico", H1122="Marketing", "Marketing", H1122="Human Resources", "Recursos Humanos")</f>
        <v>Ciências da Vida</v>
      </c>
      <c r="AL1122" t="str" cm="1">
        <f t="array" ref="AL112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23" spans="1:38" x14ac:dyDescent="0.25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IF(tbRh[[#This Row],[Gender]]="Female","Feminino","Masculino")</f>
        <v>Feminino</v>
      </c>
      <c r="AK1123" t="str" cm="1">
        <f t="array" ref="AK1123">_xlfn.IFS(H1123="Life Sciences", "Ciências da Vida", H1123="Other", "Outro", H1123="Medical", "Médico", H1123="Technical Degree", "Curso Técnico", H1123="Marketing", "Marketing", H1123="Human Resources", "Recursos Humanos")</f>
        <v>Ciências da Vida</v>
      </c>
      <c r="AL1123" t="str" cm="1">
        <f t="array" ref="AL112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24" spans="1:38" x14ac:dyDescent="0.25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IF(tbRh[[#This Row],[Gender]]="Female","Feminino","Masculino")</f>
        <v>Masculino</v>
      </c>
      <c r="AK1124" t="str" cm="1">
        <f t="array" ref="AK1124">_xlfn.IFS(H1124="Life Sciences", "Ciências da Vida", H1124="Other", "Outro", H1124="Medical", "Médico", H1124="Technical Degree", "Curso Técnico", H1124="Marketing", "Marketing", H1124="Human Resources", "Recursos Humanos")</f>
        <v>Médico</v>
      </c>
      <c r="AL1124" t="str" cm="1">
        <f t="array" ref="AL11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25" spans="1:38" x14ac:dyDescent="0.25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IF(tbRh[[#This Row],[Gender]]="Female","Feminino","Masculino")</f>
        <v>Feminino</v>
      </c>
      <c r="AK1125" t="str" cm="1">
        <f t="array" ref="AK1125">_xlfn.IFS(H1125="Life Sciences", "Ciências da Vida", H1125="Other", "Outro", H1125="Medical", "Médico", H1125="Technical Degree", "Curso Técnico", H1125="Marketing", "Marketing", H1125="Human Resources", "Recursos Humanos")</f>
        <v>Médico</v>
      </c>
      <c r="AL1125" t="str" cm="1">
        <f t="array" ref="AL11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26" spans="1:38" x14ac:dyDescent="0.25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IF(tbRh[[#This Row],[Gender]]="Female","Feminino","Masculino")</f>
        <v>Masculino</v>
      </c>
      <c r="AK1126" t="str" cm="1">
        <f t="array" ref="AK1126">_xlfn.IFS(H1126="Life Sciences", "Ciências da Vida", H1126="Other", "Outro", H1126="Medical", "Médico", H1126="Technical Degree", "Curso Técnico", H1126="Marketing", "Marketing", H1126="Human Resources", "Recursos Humanos")</f>
        <v>Médico</v>
      </c>
      <c r="AL1126" t="str" cm="1">
        <f t="array" ref="AL112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27" spans="1:38" x14ac:dyDescent="0.25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IF(tbRh[[#This Row],[Gender]]="Female","Feminino","Masculino")</f>
        <v>Masculino</v>
      </c>
      <c r="AK1127" t="str" cm="1">
        <f t="array" ref="AK1127">_xlfn.IFS(H1127="Life Sciences", "Ciências da Vida", H1127="Other", "Outro", H1127="Medical", "Médico", H1127="Technical Degree", "Curso Técnico", H1127="Marketing", "Marketing", H1127="Human Resources", "Recursos Humanos")</f>
        <v>Ciências da Vida</v>
      </c>
      <c r="AL1127" t="str" cm="1">
        <f t="array" ref="AL11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28" spans="1:38" x14ac:dyDescent="0.25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IF(tbRh[[#This Row],[Gender]]="Female","Feminino","Masculino")</f>
        <v>Masculino</v>
      </c>
      <c r="AK1128" t="str" cm="1">
        <f t="array" ref="AK1128">_xlfn.IFS(H1128="Life Sciences", "Ciências da Vida", H1128="Other", "Outro", H1128="Medical", "Médico", H1128="Technical Degree", "Curso Técnico", H1128="Marketing", "Marketing", H1128="Human Resources", "Recursos Humanos")</f>
        <v>Marketing</v>
      </c>
      <c r="AL1128" t="str" cm="1">
        <f t="array" ref="AL112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29" spans="1:38" x14ac:dyDescent="0.25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IF(tbRh[[#This Row],[Gender]]="Female","Feminino","Masculino")</f>
        <v>Masculino</v>
      </c>
      <c r="AK1129" t="str" cm="1">
        <f t="array" ref="AK1129">_xlfn.IFS(H1129="Life Sciences", "Ciências da Vida", H1129="Other", "Outro", H1129="Medical", "Médico", H1129="Technical Degree", "Curso Técnico", H1129="Marketing", "Marketing", H1129="Human Resources", "Recursos Humanos")</f>
        <v>Curso Técnico</v>
      </c>
      <c r="AL1129" t="str" cm="1">
        <f t="array" ref="AL11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0" spans="1:38" x14ac:dyDescent="0.25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IF(tbRh[[#This Row],[Gender]]="Female","Feminino","Masculino")</f>
        <v>Masculino</v>
      </c>
      <c r="AK1130" t="str" cm="1">
        <f t="array" ref="AK1130">_xlfn.IFS(H1130="Life Sciences", "Ciências da Vida", H1130="Other", "Outro", H1130="Medical", "Médico", H1130="Technical Degree", "Curso Técnico", H1130="Marketing", "Marketing", H1130="Human Resources", "Recursos Humanos")</f>
        <v>Ciências da Vida</v>
      </c>
      <c r="AL1130" t="str" cm="1">
        <f t="array" ref="AL113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1" spans="1:38" x14ac:dyDescent="0.25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IF(tbRh[[#This Row],[Gender]]="Female","Feminino","Masculino")</f>
        <v>Masculino</v>
      </c>
      <c r="AK1131" t="str" cm="1">
        <f t="array" ref="AK1131">_xlfn.IFS(H1131="Life Sciences", "Ciências da Vida", H1131="Other", "Outro", H1131="Medical", "Médico", H1131="Technical Degree", "Curso Técnico", H1131="Marketing", "Marketing", H1131="Human Resources", "Recursos Humanos")</f>
        <v>Outro</v>
      </c>
      <c r="AL1131" t="str" cm="1">
        <f t="array" ref="AL11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2" spans="1:38" x14ac:dyDescent="0.25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IF(tbRh[[#This Row],[Gender]]="Female","Feminino","Masculino")</f>
        <v>Masculino</v>
      </c>
      <c r="AK1132" t="str" cm="1">
        <f t="array" ref="AK1132">_xlfn.IFS(H1132="Life Sciences", "Ciências da Vida", H1132="Other", "Outro", H1132="Medical", "Médico", H1132="Technical Degree", "Curso Técnico", H1132="Marketing", "Marketing", H1132="Human Resources", "Recursos Humanos")</f>
        <v>Ciências da Vida</v>
      </c>
      <c r="AL1132" t="str" cm="1">
        <f t="array" ref="AL11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3" spans="1:38" x14ac:dyDescent="0.25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IF(tbRh[[#This Row],[Gender]]="Female","Feminino","Masculino")</f>
        <v>Masculino</v>
      </c>
      <c r="AK1133" t="str" cm="1">
        <f t="array" ref="AK1133">_xlfn.IFS(H1133="Life Sciences", "Ciências da Vida", H1133="Other", "Outro", H1133="Medical", "Médico", H1133="Technical Degree", "Curso Técnico", H1133="Marketing", "Marketing", H1133="Human Resources", "Recursos Humanos")</f>
        <v>Curso Técnico</v>
      </c>
      <c r="AL1133" t="str" cm="1">
        <f t="array" ref="AL11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4" spans="1:38" x14ac:dyDescent="0.25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IF(tbRh[[#This Row],[Gender]]="Female","Feminino","Masculino")</f>
        <v>Feminino</v>
      </c>
      <c r="AK1134" t="str" cm="1">
        <f t="array" ref="AK1134">_xlfn.IFS(H1134="Life Sciences", "Ciências da Vida", H1134="Other", "Outro", H1134="Medical", "Médico", H1134="Technical Degree", "Curso Técnico", H1134="Marketing", "Marketing", H1134="Human Resources", "Recursos Humanos")</f>
        <v>Ciências da Vida</v>
      </c>
      <c r="AL1134" t="str" cm="1">
        <f t="array" ref="AL113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35" spans="1:38" x14ac:dyDescent="0.25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IF(tbRh[[#This Row],[Gender]]="Female","Feminino","Masculino")</f>
        <v>Masculino</v>
      </c>
      <c r="AK1135" t="str" cm="1">
        <f t="array" ref="AK1135">_xlfn.IFS(H1135="Life Sciences", "Ciências da Vida", H1135="Other", "Outro", H1135="Medical", "Médico", H1135="Technical Degree", "Curso Técnico", H1135="Marketing", "Marketing", H1135="Human Resources", "Recursos Humanos")</f>
        <v>Curso Técnico</v>
      </c>
      <c r="AL1135" t="str" cm="1">
        <f t="array" ref="AL11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6" spans="1:38" x14ac:dyDescent="0.25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IF(tbRh[[#This Row],[Gender]]="Female","Feminino","Masculino")</f>
        <v>Masculino</v>
      </c>
      <c r="AK1136" t="str" cm="1">
        <f t="array" ref="AK1136">_xlfn.IFS(H1136="Life Sciences", "Ciências da Vida", H1136="Other", "Outro", H1136="Medical", "Médico", H1136="Technical Degree", "Curso Técnico", H1136="Marketing", "Marketing", H1136="Human Resources", "Recursos Humanos")</f>
        <v>Ciências da Vida</v>
      </c>
      <c r="AL1136" t="str" cm="1">
        <f t="array" ref="AL11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7" spans="1:38" x14ac:dyDescent="0.25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IF(tbRh[[#This Row],[Gender]]="Female","Feminino","Masculino")</f>
        <v>Masculino</v>
      </c>
      <c r="AK1137" t="str" cm="1">
        <f t="array" ref="AK1137">_xlfn.IFS(H1137="Life Sciences", "Ciências da Vida", H1137="Other", "Outro", H1137="Medical", "Médico", H1137="Technical Degree", "Curso Técnico", H1137="Marketing", "Marketing", H1137="Human Resources", "Recursos Humanos")</f>
        <v>Ciências da Vida</v>
      </c>
      <c r="AL1137" t="str" cm="1">
        <f t="array" ref="AL113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38" spans="1:38" x14ac:dyDescent="0.25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IF(tbRh[[#This Row],[Gender]]="Female","Feminino","Masculino")</f>
        <v>Masculino</v>
      </c>
      <c r="AK1138" t="str" cm="1">
        <f t="array" ref="AK1138">_xlfn.IFS(H1138="Life Sciences", "Ciências da Vida", H1138="Other", "Outro", H1138="Medical", "Médico", H1138="Technical Degree", "Curso Técnico", H1138="Marketing", "Marketing", H1138="Human Resources", "Recursos Humanos")</f>
        <v>Médico</v>
      </c>
      <c r="AL1138" t="str" cm="1">
        <f t="array" ref="AL11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39" spans="1:38" x14ac:dyDescent="0.25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IF(tbRh[[#This Row],[Gender]]="Female","Feminino","Masculino")</f>
        <v>Feminino</v>
      </c>
      <c r="AK1139" t="str" cm="1">
        <f t="array" ref="AK1139">_xlfn.IFS(H1139="Life Sciences", "Ciências da Vida", H1139="Other", "Outro", H1139="Medical", "Médico", H1139="Technical Degree", "Curso Técnico", H1139="Marketing", "Marketing", H1139="Human Resources", "Recursos Humanos")</f>
        <v>Outro</v>
      </c>
      <c r="AL1139" t="str" cm="1">
        <f t="array" ref="AL11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0" spans="1:38" x14ac:dyDescent="0.25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IF(tbRh[[#This Row],[Gender]]="Female","Feminino","Masculino")</f>
        <v>Masculino</v>
      </c>
      <c r="AK1140" t="str" cm="1">
        <f t="array" ref="AK1140">_xlfn.IFS(H1140="Life Sciences", "Ciências da Vida", H1140="Other", "Outro", H1140="Medical", "Médico", H1140="Technical Degree", "Curso Técnico", H1140="Marketing", "Marketing", H1140="Human Resources", "Recursos Humanos")</f>
        <v>Médico</v>
      </c>
      <c r="AL1140" t="str" cm="1">
        <f t="array" ref="AL114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1" spans="1:38" x14ac:dyDescent="0.25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IF(tbRh[[#This Row],[Gender]]="Female","Feminino","Masculino")</f>
        <v>Feminino</v>
      </c>
      <c r="AK1141" t="str" cm="1">
        <f t="array" ref="AK1141">_xlfn.IFS(H1141="Life Sciences", "Ciências da Vida", H1141="Other", "Outro", H1141="Medical", "Médico", H1141="Technical Degree", "Curso Técnico", H1141="Marketing", "Marketing", H1141="Human Resources", "Recursos Humanos")</f>
        <v>Outro</v>
      </c>
      <c r="AL1141" t="str" cm="1">
        <f t="array" ref="AL11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2" spans="1:38" x14ac:dyDescent="0.25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IF(tbRh[[#This Row],[Gender]]="Female","Feminino","Masculino")</f>
        <v>Feminino</v>
      </c>
      <c r="AK1142" t="str" cm="1">
        <f t="array" ref="AK1142">_xlfn.IFS(H1142="Life Sciences", "Ciências da Vida", H1142="Other", "Outro", H1142="Medical", "Médico", H1142="Technical Degree", "Curso Técnico", H1142="Marketing", "Marketing", H1142="Human Resources", "Recursos Humanos")</f>
        <v>Médico</v>
      </c>
      <c r="AL1142" t="str" cm="1">
        <f t="array" ref="AL11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3" spans="1:38" x14ac:dyDescent="0.25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IF(tbRh[[#This Row],[Gender]]="Female","Feminino","Masculino")</f>
        <v>Masculino</v>
      </c>
      <c r="AK1143" t="str" cm="1">
        <f t="array" ref="AK1143">_xlfn.IFS(H1143="Life Sciences", "Ciências da Vida", H1143="Other", "Outro", H1143="Medical", "Médico", H1143="Technical Degree", "Curso Técnico", H1143="Marketing", "Marketing", H1143="Human Resources", "Recursos Humanos")</f>
        <v>Médico</v>
      </c>
      <c r="AL1143" t="str" cm="1">
        <f t="array" ref="AL11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4" spans="1:38" x14ac:dyDescent="0.25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IF(tbRh[[#This Row],[Gender]]="Female","Feminino","Masculino")</f>
        <v>Feminino</v>
      </c>
      <c r="AK1144" t="str" cm="1">
        <f t="array" ref="AK1144">_xlfn.IFS(H1144="Life Sciences", "Ciências da Vida", H1144="Other", "Outro", H1144="Medical", "Médico", H1144="Technical Degree", "Curso Técnico", H1144="Marketing", "Marketing", H1144="Human Resources", "Recursos Humanos")</f>
        <v>Médico</v>
      </c>
      <c r="AL1144" t="str" cm="1">
        <f t="array" ref="AL11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5" spans="1:38" x14ac:dyDescent="0.25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IF(tbRh[[#This Row],[Gender]]="Female","Feminino","Masculino")</f>
        <v>Masculino</v>
      </c>
      <c r="AK1145" t="str" cm="1">
        <f t="array" ref="AK1145">_xlfn.IFS(H1145="Life Sciences", "Ciências da Vida", H1145="Other", "Outro", H1145="Medical", "Médico", H1145="Technical Degree", "Curso Técnico", H1145="Marketing", "Marketing", H1145="Human Resources", "Recursos Humanos")</f>
        <v>Marketing</v>
      </c>
      <c r="AL1145" t="str" cm="1">
        <f t="array" ref="AL114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46" spans="1:38" x14ac:dyDescent="0.25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IF(tbRh[[#This Row],[Gender]]="Female","Feminino","Masculino")</f>
        <v>Masculino</v>
      </c>
      <c r="AK1146" t="str" cm="1">
        <f t="array" ref="AK1146">_xlfn.IFS(H1146="Life Sciences", "Ciências da Vida", H1146="Other", "Outro", H1146="Medical", "Médico", H1146="Technical Degree", "Curso Técnico", H1146="Marketing", "Marketing", H1146="Human Resources", "Recursos Humanos")</f>
        <v>Outro</v>
      </c>
      <c r="AL1146" t="str" cm="1">
        <f t="array" ref="AL114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47" spans="1:38" x14ac:dyDescent="0.25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IF(tbRh[[#This Row],[Gender]]="Female","Feminino","Masculino")</f>
        <v>Feminino</v>
      </c>
      <c r="AK1147" t="str" cm="1">
        <f t="array" ref="AK1147">_xlfn.IFS(H1147="Life Sciences", "Ciências da Vida", H1147="Other", "Outro", H1147="Medical", "Médico", H1147="Technical Degree", "Curso Técnico", H1147="Marketing", "Marketing", H1147="Human Resources", "Recursos Humanos")</f>
        <v>Ciências da Vida</v>
      </c>
      <c r="AL1147" t="str" cm="1">
        <f t="array" ref="AL11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8" spans="1:38" x14ac:dyDescent="0.25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IF(tbRh[[#This Row],[Gender]]="Female","Feminino","Masculino")</f>
        <v>Masculino</v>
      </c>
      <c r="AK1148" t="str" cm="1">
        <f t="array" ref="AK1148">_xlfn.IFS(H1148="Life Sciences", "Ciências da Vida", H1148="Other", "Outro", H1148="Medical", "Médico", H1148="Technical Degree", "Curso Técnico", H1148="Marketing", "Marketing", H1148="Human Resources", "Recursos Humanos")</f>
        <v>Ciências da Vida</v>
      </c>
      <c r="AL1148" t="str" cm="1">
        <f t="array" ref="AL11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49" spans="1:38" x14ac:dyDescent="0.25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IF(tbRh[[#This Row],[Gender]]="Female","Feminino","Masculino")</f>
        <v>Feminino</v>
      </c>
      <c r="AK1149" t="str" cm="1">
        <f t="array" ref="AK1149">_xlfn.IFS(H1149="Life Sciences", "Ciências da Vida", H1149="Other", "Outro", H1149="Medical", "Médico", H1149="Technical Degree", "Curso Técnico", H1149="Marketing", "Marketing", H1149="Human Resources", "Recursos Humanos")</f>
        <v>Ciências da Vida</v>
      </c>
      <c r="AL1149" t="str" cm="1">
        <f t="array" ref="AL114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0" spans="1:38" x14ac:dyDescent="0.25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IF(tbRh[[#This Row],[Gender]]="Female","Feminino","Masculino")</f>
        <v>Masculino</v>
      </c>
      <c r="AK1150" t="str" cm="1">
        <f t="array" ref="AK1150">_xlfn.IFS(H1150="Life Sciences", "Ciências da Vida", H1150="Other", "Outro", H1150="Medical", "Médico", H1150="Technical Degree", "Curso Técnico", H1150="Marketing", "Marketing", H1150="Human Resources", "Recursos Humanos")</f>
        <v>Médico</v>
      </c>
      <c r="AL1150" t="str" cm="1">
        <f t="array" ref="AL11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1" spans="1:38" x14ac:dyDescent="0.25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IF(tbRh[[#This Row],[Gender]]="Female","Feminino","Masculino")</f>
        <v>Masculino</v>
      </c>
      <c r="AK1151" t="str" cm="1">
        <f t="array" ref="AK1151">_xlfn.IFS(H1151="Life Sciences", "Ciências da Vida", H1151="Other", "Outro", H1151="Medical", "Médico", H1151="Technical Degree", "Curso Técnico", H1151="Marketing", "Marketing", H1151="Human Resources", "Recursos Humanos")</f>
        <v>Outro</v>
      </c>
      <c r="AL1151" t="str" cm="1">
        <f t="array" ref="AL11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2" spans="1:38" x14ac:dyDescent="0.25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IF(tbRh[[#This Row],[Gender]]="Female","Feminino","Masculino")</f>
        <v>Masculino</v>
      </c>
      <c r="AK1152" t="str" cm="1">
        <f t="array" ref="AK1152">_xlfn.IFS(H1152="Life Sciences", "Ciências da Vida", H1152="Other", "Outro", H1152="Medical", "Médico", H1152="Technical Degree", "Curso Técnico", H1152="Marketing", "Marketing", H1152="Human Resources", "Recursos Humanos")</f>
        <v>Ciências da Vida</v>
      </c>
      <c r="AL1152" t="str" cm="1">
        <f t="array" ref="AL11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3" spans="1:38" x14ac:dyDescent="0.25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IF(tbRh[[#This Row],[Gender]]="Female","Feminino","Masculino")</f>
        <v>Feminino</v>
      </c>
      <c r="AK1153" t="str" cm="1">
        <f t="array" ref="AK1153">_xlfn.IFS(H1153="Life Sciences", "Ciências da Vida", H1153="Other", "Outro", H1153="Medical", "Médico", H1153="Technical Degree", "Curso Técnico", H1153="Marketing", "Marketing", H1153="Human Resources", "Recursos Humanos")</f>
        <v>Médico</v>
      </c>
      <c r="AL1153" t="str" cm="1">
        <f t="array" ref="AL11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4" spans="1:38" x14ac:dyDescent="0.25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IF(tbRh[[#This Row],[Gender]]="Female","Feminino","Masculino")</f>
        <v>Masculino</v>
      </c>
      <c r="AK1154" t="str" cm="1">
        <f t="array" ref="AK1154">_xlfn.IFS(H1154="Life Sciences", "Ciências da Vida", H1154="Other", "Outro", H1154="Medical", "Médico", H1154="Technical Degree", "Curso Técnico", H1154="Marketing", "Marketing", H1154="Human Resources", "Recursos Humanos")</f>
        <v>Médico</v>
      </c>
      <c r="AL1154" t="str" cm="1">
        <f t="array" ref="AL11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5" spans="1:38" x14ac:dyDescent="0.25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IF(tbRh[[#This Row],[Gender]]="Female","Feminino","Masculino")</f>
        <v>Feminino</v>
      </c>
      <c r="AK1155" t="str" cm="1">
        <f t="array" ref="AK1155">_xlfn.IFS(H1155="Life Sciences", "Ciências da Vida", H1155="Other", "Outro", H1155="Medical", "Médico", H1155="Technical Degree", "Curso Técnico", H1155="Marketing", "Marketing", H1155="Human Resources", "Recursos Humanos")</f>
        <v>Médico</v>
      </c>
      <c r="AL1155" t="str" cm="1">
        <f t="array" ref="AL115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56" spans="1:38" x14ac:dyDescent="0.25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IF(tbRh[[#This Row],[Gender]]="Female","Feminino","Masculino")</f>
        <v>Feminino</v>
      </c>
      <c r="AK1156" t="str" cm="1">
        <f t="array" ref="AK1156">_xlfn.IFS(H1156="Life Sciences", "Ciências da Vida", H1156="Other", "Outro", H1156="Medical", "Médico", H1156="Technical Degree", "Curso Técnico", H1156="Marketing", "Marketing", H1156="Human Resources", "Recursos Humanos")</f>
        <v>Ciências da Vida</v>
      </c>
      <c r="AL1156" t="str" cm="1">
        <f t="array" ref="AL1156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157" spans="1:38" x14ac:dyDescent="0.25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IF(tbRh[[#This Row],[Gender]]="Female","Feminino","Masculino")</f>
        <v>Masculino</v>
      </c>
      <c r="AK1157" t="str" cm="1">
        <f t="array" ref="AK1157">_xlfn.IFS(H1157="Life Sciences", "Ciências da Vida", H1157="Other", "Outro", H1157="Medical", "Médico", H1157="Technical Degree", "Curso Técnico", H1157="Marketing", "Marketing", H1157="Human Resources", "Recursos Humanos")</f>
        <v>Médico</v>
      </c>
      <c r="AL1157" t="str" cm="1">
        <f t="array" ref="AL11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8" spans="1:38" x14ac:dyDescent="0.25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IF(tbRh[[#This Row],[Gender]]="Female","Feminino","Masculino")</f>
        <v>Feminino</v>
      </c>
      <c r="AK1158" t="str" cm="1">
        <f t="array" ref="AK1158">_xlfn.IFS(H1158="Life Sciences", "Ciências da Vida", H1158="Other", "Outro", H1158="Medical", "Médico", H1158="Technical Degree", "Curso Técnico", H1158="Marketing", "Marketing", H1158="Human Resources", "Recursos Humanos")</f>
        <v>Ciências da Vida</v>
      </c>
      <c r="AL1158" t="str" cm="1">
        <f t="array" ref="AL11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59" spans="1:38" x14ac:dyDescent="0.25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IF(tbRh[[#This Row],[Gender]]="Female","Feminino","Masculino")</f>
        <v>Feminino</v>
      </c>
      <c r="AK1159" t="str" cm="1">
        <f t="array" ref="AK1159">_xlfn.IFS(H1159="Life Sciences", "Ciências da Vida", H1159="Other", "Outro", H1159="Medical", "Médico", H1159="Technical Degree", "Curso Técnico", H1159="Marketing", "Marketing", H1159="Human Resources", "Recursos Humanos")</f>
        <v>Ciências da Vida</v>
      </c>
      <c r="AL1159" t="str" cm="1">
        <f t="array" ref="AL11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0" spans="1:38" x14ac:dyDescent="0.25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IF(tbRh[[#This Row],[Gender]]="Female","Feminino","Masculino")</f>
        <v>Masculino</v>
      </c>
      <c r="AK1160" t="str" cm="1">
        <f t="array" ref="AK1160">_xlfn.IFS(H1160="Life Sciences", "Ciências da Vida", H1160="Other", "Outro", H1160="Medical", "Médico", H1160="Technical Degree", "Curso Técnico", H1160="Marketing", "Marketing", H1160="Human Resources", "Recursos Humanos")</f>
        <v>Ciências da Vida</v>
      </c>
      <c r="AL1160" t="str" cm="1">
        <f t="array" ref="AL11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1" spans="1:38" x14ac:dyDescent="0.25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IF(tbRh[[#This Row],[Gender]]="Female","Feminino","Masculino")</f>
        <v>Feminino</v>
      </c>
      <c r="AK1161" t="str" cm="1">
        <f t="array" ref="AK1161">_xlfn.IFS(H1161="Life Sciences", "Ciências da Vida", H1161="Other", "Outro", H1161="Medical", "Médico", H1161="Technical Degree", "Curso Técnico", H1161="Marketing", "Marketing", H1161="Human Resources", "Recursos Humanos")</f>
        <v>Médico</v>
      </c>
      <c r="AL1161" t="str" cm="1">
        <f t="array" ref="AL11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2" spans="1:38" x14ac:dyDescent="0.25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IF(tbRh[[#This Row],[Gender]]="Female","Feminino","Masculino")</f>
        <v>Feminino</v>
      </c>
      <c r="AK1162" t="str" cm="1">
        <f t="array" ref="AK1162">_xlfn.IFS(H1162="Life Sciences", "Ciências da Vida", H1162="Other", "Outro", H1162="Medical", "Médico", H1162="Technical Degree", "Curso Técnico", H1162="Marketing", "Marketing", H1162="Human Resources", "Recursos Humanos")</f>
        <v>Outro</v>
      </c>
      <c r="AL1162" t="str" cm="1">
        <f t="array" ref="AL11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3" spans="1:38" x14ac:dyDescent="0.25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IF(tbRh[[#This Row],[Gender]]="Female","Feminino","Masculino")</f>
        <v>Feminino</v>
      </c>
      <c r="AK1163" t="str" cm="1">
        <f t="array" ref="AK1163">_xlfn.IFS(H1163="Life Sciences", "Ciências da Vida", H1163="Other", "Outro", H1163="Medical", "Médico", H1163="Technical Degree", "Curso Técnico", H1163="Marketing", "Marketing", H1163="Human Resources", "Recursos Humanos")</f>
        <v>Médico</v>
      </c>
      <c r="AL1163" t="str" cm="1">
        <f t="array" ref="AL11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4" spans="1:38" x14ac:dyDescent="0.25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IF(tbRh[[#This Row],[Gender]]="Female","Feminino","Masculino")</f>
        <v>Masculino</v>
      </c>
      <c r="AK1164" t="str" cm="1">
        <f t="array" ref="AK1164">_xlfn.IFS(H1164="Life Sciences", "Ciências da Vida", H1164="Other", "Outro", H1164="Medical", "Médico", H1164="Technical Degree", "Curso Técnico", H1164="Marketing", "Marketing", H1164="Human Resources", "Recursos Humanos")</f>
        <v>Médico</v>
      </c>
      <c r="AL1164" t="str" cm="1">
        <f t="array" ref="AL116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65" spans="1:38" x14ac:dyDescent="0.25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IF(tbRh[[#This Row],[Gender]]="Female","Feminino","Masculino")</f>
        <v>Feminino</v>
      </c>
      <c r="AK1165" t="str" cm="1">
        <f t="array" ref="AK1165">_xlfn.IFS(H1165="Life Sciences", "Ciências da Vida", H1165="Other", "Outro", H1165="Medical", "Médico", H1165="Technical Degree", "Curso Técnico", H1165="Marketing", "Marketing", H1165="Human Resources", "Recursos Humanos")</f>
        <v>Médico</v>
      </c>
      <c r="AL1165" t="str" cm="1">
        <f t="array" ref="AL116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6" spans="1:38" x14ac:dyDescent="0.25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IF(tbRh[[#This Row],[Gender]]="Female","Feminino","Masculino")</f>
        <v>Feminino</v>
      </c>
      <c r="AK1166" t="str" cm="1">
        <f t="array" ref="AK1166">_xlfn.IFS(H1166="Life Sciences", "Ciências da Vida", H1166="Other", "Outro", H1166="Medical", "Médico", H1166="Technical Degree", "Curso Técnico", H1166="Marketing", "Marketing", H1166="Human Resources", "Recursos Humanos")</f>
        <v>Ciências da Vida</v>
      </c>
      <c r="AL1166" t="str" cm="1">
        <f t="array" ref="AL11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7" spans="1:38" x14ac:dyDescent="0.25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IF(tbRh[[#This Row],[Gender]]="Female","Feminino","Masculino")</f>
        <v>Masculino</v>
      </c>
      <c r="AK1167" t="str" cm="1">
        <f t="array" ref="AK1167">_xlfn.IFS(H1167="Life Sciences", "Ciências da Vida", H1167="Other", "Outro", H1167="Medical", "Médico", H1167="Technical Degree", "Curso Técnico", H1167="Marketing", "Marketing", H1167="Human Resources", "Recursos Humanos")</f>
        <v>Recursos Humanos</v>
      </c>
      <c r="AL1167" t="str" cm="1">
        <f t="array" ref="AL116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168" spans="1:38" x14ac:dyDescent="0.25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IF(tbRh[[#This Row],[Gender]]="Female","Feminino","Masculino")</f>
        <v>Masculino</v>
      </c>
      <c r="AK1168" t="str" cm="1">
        <f t="array" ref="AK1168">_xlfn.IFS(H1168="Life Sciences", "Ciências da Vida", H1168="Other", "Outro", H1168="Medical", "Médico", H1168="Technical Degree", "Curso Técnico", H1168="Marketing", "Marketing", H1168="Human Resources", "Recursos Humanos")</f>
        <v>Médico</v>
      </c>
      <c r="AL1168" t="str" cm="1">
        <f t="array" ref="AL11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69" spans="1:38" x14ac:dyDescent="0.25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IF(tbRh[[#This Row],[Gender]]="Female","Feminino","Masculino")</f>
        <v>Masculino</v>
      </c>
      <c r="AK1169" t="str" cm="1">
        <f t="array" ref="AK1169">_xlfn.IFS(H1169="Life Sciences", "Ciências da Vida", H1169="Other", "Outro", H1169="Medical", "Médico", H1169="Technical Degree", "Curso Técnico", H1169="Marketing", "Marketing", H1169="Human Resources", "Recursos Humanos")</f>
        <v>Médico</v>
      </c>
      <c r="AL1169" t="str" cm="1">
        <f t="array" ref="AL116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70" spans="1:38" x14ac:dyDescent="0.25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IF(tbRh[[#This Row],[Gender]]="Female","Feminino","Masculino")</f>
        <v>Feminino</v>
      </c>
      <c r="AK1170" t="str" cm="1">
        <f t="array" ref="AK1170">_xlfn.IFS(H1170="Life Sciences", "Ciências da Vida", H1170="Other", "Outro", H1170="Medical", "Médico", H1170="Technical Degree", "Curso Técnico", H1170="Marketing", "Marketing", H1170="Human Resources", "Recursos Humanos")</f>
        <v>Curso Técnico</v>
      </c>
      <c r="AL1170" t="str" cm="1">
        <f t="array" ref="AL11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1" spans="1:38" x14ac:dyDescent="0.25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IF(tbRh[[#This Row],[Gender]]="Female","Feminino","Masculino")</f>
        <v>Feminino</v>
      </c>
      <c r="AK1171" t="str" cm="1">
        <f t="array" ref="AK1171">_xlfn.IFS(H1171="Life Sciences", "Ciências da Vida", H1171="Other", "Outro", H1171="Medical", "Médico", H1171="Technical Degree", "Curso Técnico", H1171="Marketing", "Marketing", H1171="Human Resources", "Recursos Humanos")</f>
        <v>Médico</v>
      </c>
      <c r="AL1171" t="str" cm="1">
        <f t="array" ref="AL11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2" spans="1:38" x14ac:dyDescent="0.25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IF(tbRh[[#This Row],[Gender]]="Female","Feminino","Masculino")</f>
        <v>Masculino</v>
      </c>
      <c r="AK1172" t="str" cm="1">
        <f t="array" ref="AK1172">_xlfn.IFS(H1172="Life Sciences", "Ciências da Vida", H1172="Other", "Outro", H1172="Medical", "Médico", H1172="Technical Degree", "Curso Técnico", H1172="Marketing", "Marketing", H1172="Human Resources", "Recursos Humanos")</f>
        <v>Médico</v>
      </c>
      <c r="AL1172" t="str" cm="1">
        <f t="array" ref="AL11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3" spans="1:38" x14ac:dyDescent="0.25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IF(tbRh[[#This Row],[Gender]]="Female","Feminino","Masculino")</f>
        <v>Masculino</v>
      </c>
      <c r="AK1173" t="str" cm="1">
        <f t="array" ref="AK1173">_xlfn.IFS(H1173="Life Sciences", "Ciências da Vida", H1173="Other", "Outro", H1173="Medical", "Médico", H1173="Technical Degree", "Curso Técnico", H1173="Marketing", "Marketing", H1173="Human Resources", "Recursos Humanos")</f>
        <v>Ciências da Vida</v>
      </c>
      <c r="AL1173" t="str" cm="1">
        <f t="array" ref="AL117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4" spans="1:38" x14ac:dyDescent="0.25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IF(tbRh[[#This Row],[Gender]]="Female","Feminino","Masculino")</f>
        <v>Masculino</v>
      </c>
      <c r="AK1174" t="str" cm="1">
        <f t="array" ref="AK1174">_xlfn.IFS(H1174="Life Sciences", "Ciências da Vida", H1174="Other", "Outro", H1174="Medical", "Médico", H1174="Technical Degree", "Curso Técnico", H1174="Marketing", "Marketing", H1174="Human Resources", "Recursos Humanos")</f>
        <v>Médico</v>
      </c>
      <c r="AL1174" t="str" cm="1">
        <f t="array" ref="AL117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75" spans="1:38" x14ac:dyDescent="0.25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IF(tbRh[[#This Row],[Gender]]="Female","Feminino","Masculino")</f>
        <v>Feminino</v>
      </c>
      <c r="AK1175" t="str" cm="1">
        <f t="array" ref="AK1175">_xlfn.IFS(H1175="Life Sciences", "Ciências da Vida", H1175="Other", "Outro", H1175="Medical", "Médico", H1175="Technical Degree", "Curso Técnico", H1175="Marketing", "Marketing", H1175="Human Resources", "Recursos Humanos")</f>
        <v>Ciências da Vida</v>
      </c>
      <c r="AL1175" t="str" cm="1">
        <f t="array" ref="AL11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6" spans="1:38" x14ac:dyDescent="0.25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IF(tbRh[[#This Row],[Gender]]="Female","Feminino","Masculino")</f>
        <v>Masculino</v>
      </c>
      <c r="AK1176" t="str" cm="1">
        <f t="array" ref="AK1176">_xlfn.IFS(H1176="Life Sciences", "Ciências da Vida", H1176="Other", "Outro", H1176="Medical", "Médico", H1176="Technical Degree", "Curso Técnico", H1176="Marketing", "Marketing", H1176="Human Resources", "Recursos Humanos")</f>
        <v>Ciências da Vida</v>
      </c>
      <c r="AL1176" t="str" cm="1">
        <f t="array" ref="AL117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7" spans="1:38" x14ac:dyDescent="0.25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IF(tbRh[[#This Row],[Gender]]="Female","Feminino","Masculino")</f>
        <v>Masculino</v>
      </c>
      <c r="AK1177" t="str" cm="1">
        <f t="array" ref="AK1177">_xlfn.IFS(H1177="Life Sciences", "Ciências da Vida", H1177="Other", "Outro", H1177="Medical", "Médico", H1177="Technical Degree", "Curso Técnico", H1177="Marketing", "Marketing", H1177="Human Resources", "Recursos Humanos")</f>
        <v>Médico</v>
      </c>
      <c r="AL1177" t="str" cm="1">
        <f t="array" ref="AL11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8" spans="1:38" x14ac:dyDescent="0.25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IF(tbRh[[#This Row],[Gender]]="Female","Feminino","Masculino")</f>
        <v>Feminino</v>
      </c>
      <c r="AK1178" t="str" cm="1">
        <f t="array" ref="AK1178">_xlfn.IFS(H1178="Life Sciences", "Ciências da Vida", H1178="Other", "Outro", H1178="Medical", "Médico", H1178="Technical Degree", "Curso Técnico", H1178="Marketing", "Marketing", H1178="Human Resources", "Recursos Humanos")</f>
        <v>Outro</v>
      </c>
      <c r="AL1178" t="str" cm="1">
        <f t="array" ref="AL11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79" spans="1:38" x14ac:dyDescent="0.25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IF(tbRh[[#This Row],[Gender]]="Female","Feminino","Masculino")</f>
        <v>Feminino</v>
      </c>
      <c r="AK1179" t="str" cm="1">
        <f t="array" ref="AK1179">_xlfn.IFS(H1179="Life Sciences", "Ciências da Vida", H1179="Other", "Outro", H1179="Medical", "Médico", H1179="Technical Degree", "Curso Técnico", H1179="Marketing", "Marketing", H1179="Human Resources", "Recursos Humanos")</f>
        <v>Ciências da Vida</v>
      </c>
      <c r="AL1179" t="str" cm="1">
        <f t="array" ref="AL11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0" spans="1:38" x14ac:dyDescent="0.25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IF(tbRh[[#This Row],[Gender]]="Female","Feminino","Masculino")</f>
        <v>Feminino</v>
      </c>
      <c r="AK1180" t="str" cm="1">
        <f t="array" ref="AK1180">_xlfn.IFS(H1180="Life Sciences", "Ciências da Vida", H1180="Other", "Outro", H1180="Medical", "Médico", H1180="Technical Degree", "Curso Técnico", H1180="Marketing", "Marketing", H1180="Human Resources", "Recursos Humanos")</f>
        <v>Médico</v>
      </c>
      <c r="AL1180" t="str" cm="1">
        <f t="array" ref="AL118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81" spans="1:38" x14ac:dyDescent="0.25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IF(tbRh[[#This Row],[Gender]]="Female","Feminino","Masculino")</f>
        <v>Feminino</v>
      </c>
      <c r="AK1181" t="str" cm="1">
        <f t="array" ref="AK1181">_xlfn.IFS(H1181="Life Sciences", "Ciências da Vida", H1181="Other", "Outro", H1181="Medical", "Médico", H1181="Technical Degree", "Curso Técnico", H1181="Marketing", "Marketing", H1181="Human Resources", "Recursos Humanos")</f>
        <v>Ciências da Vida</v>
      </c>
      <c r="AL1181" t="str" cm="1">
        <f t="array" ref="AL11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2" spans="1:38" x14ac:dyDescent="0.25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IF(tbRh[[#This Row],[Gender]]="Female","Feminino","Masculino")</f>
        <v>Masculino</v>
      </c>
      <c r="AK1182" t="str" cm="1">
        <f t="array" ref="AK1182">_xlfn.IFS(H1182="Life Sciences", "Ciências da Vida", H1182="Other", "Outro", H1182="Medical", "Médico", H1182="Technical Degree", "Curso Técnico", H1182="Marketing", "Marketing", H1182="Human Resources", "Recursos Humanos")</f>
        <v>Ciências da Vida</v>
      </c>
      <c r="AL1182" t="str" cm="1">
        <f t="array" ref="AL118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3" spans="1:38" x14ac:dyDescent="0.25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IF(tbRh[[#This Row],[Gender]]="Female","Feminino","Masculino")</f>
        <v>Feminino</v>
      </c>
      <c r="AK1183" t="str" cm="1">
        <f t="array" ref="AK1183">_xlfn.IFS(H1183="Life Sciences", "Ciências da Vida", H1183="Other", "Outro", H1183="Medical", "Médico", H1183="Technical Degree", "Curso Técnico", H1183="Marketing", "Marketing", H1183="Human Resources", "Recursos Humanos")</f>
        <v>Ciências da Vida</v>
      </c>
      <c r="AL1183" t="str" cm="1">
        <f t="array" ref="AL11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4" spans="1:38" x14ac:dyDescent="0.25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IF(tbRh[[#This Row],[Gender]]="Female","Feminino","Masculino")</f>
        <v>Feminino</v>
      </c>
      <c r="AK1184" t="str" cm="1">
        <f t="array" ref="AK1184">_xlfn.IFS(H1184="Life Sciences", "Ciências da Vida", H1184="Other", "Outro", H1184="Medical", "Médico", H1184="Technical Degree", "Curso Técnico", H1184="Marketing", "Marketing", H1184="Human Resources", "Recursos Humanos")</f>
        <v>Médico</v>
      </c>
      <c r="AL1184" t="str" cm="1">
        <f t="array" ref="AL11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5" spans="1:38" x14ac:dyDescent="0.25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IF(tbRh[[#This Row],[Gender]]="Female","Feminino","Masculino")</f>
        <v>Masculino</v>
      </c>
      <c r="AK1185" t="str" cm="1">
        <f t="array" ref="AK1185">_xlfn.IFS(H1185="Life Sciences", "Ciências da Vida", H1185="Other", "Outro", H1185="Medical", "Médico", H1185="Technical Degree", "Curso Técnico", H1185="Marketing", "Marketing", H1185="Human Resources", "Recursos Humanos")</f>
        <v>Ciências da Vida</v>
      </c>
      <c r="AL1185" t="str" cm="1">
        <f t="array" ref="AL11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6" spans="1:38" x14ac:dyDescent="0.25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IF(tbRh[[#This Row],[Gender]]="Female","Feminino","Masculino")</f>
        <v>Feminino</v>
      </c>
      <c r="AK1186" t="str" cm="1">
        <f t="array" ref="AK1186">_xlfn.IFS(H1186="Life Sciences", "Ciências da Vida", H1186="Other", "Outro", H1186="Medical", "Médico", H1186="Technical Degree", "Curso Técnico", H1186="Marketing", "Marketing", H1186="Human Resources", "Recursos Humanos")</f>
        <v>Médico</v>
      </c>
      <c r="AL1186" t="str" cm="1">
        <f t="array" ref="AL11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7" spans="1:38" x14ac:dyDescent="0.25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IF(tbRh[[#This Row],[Gender]]="Female","Feminino","Masculino")</f>
        <v>Masculino</v>
      </c>
      <c r="AK1187" t="str" cm="1">
        <f t="array" ref="AK1187">_xlfn.IFS(H1187="Life Sciences", "Ciências da Vida", H1187="Other", "Outro", H1187="Medical", "Médico", H1187="Technical Degree", "Curso Técnico", H1187="Marketing", "Marketing", H1187="Human Resources", "Recursos Humanos")</f>
        <v>Ciências da Vida</v>
      </c>
      <c r="AL1187" t="str" cm="1">
        <f t="array" ref="AL118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88" spans="1:38" x14ac:dyDescent="0.25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IF(tbRh[[#This Row],[Gender]]="Female","Feminino","Masculino")</f>
        <v>Masculino</v>
      </c>
      <c r="AK1188" t="str" cm="1">
        <f t="array" ref="AK1188">_xlfn.IFS(H1188="Life Sciences", "Ciências da Vida", H1188="Other", "Outro", H1188="Medical", "Médico", H1188="Technical Degree", "Curso Técnico", H1188="Marketing", "Marketing", H1188="Human Resources", "Recursos Humanos")</f>
        <v>Outro</v>
      </c>
      <c r="AL1188" t="str" cm="1">
        <f t="array" ref="AL118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89" spans="1:38" x14ac:dyDescent="0.25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IF(tbRh[[#This Row],[Gender]]="Female","Feminino","Masculino")</f>
        <v>Masculino</v>
      </c>
      <c r="AK1189" t="str" cm="1">
        <f t="array" ref="AK1189">_xlfn.IFS(H1189="Life Sciences", "Ciências da Vida", H1189="Other", "Outro", H1189="Medical", "Médico", H1189="Technical Degree", "Curso Técnico", H1189="Marketing", "Marketing", H1189="Human Resources", "Recursos Humanos")</f>
        <v>Ciências da Vida</v>
      </c>
      <c r="AL1189" t="str" cm="1">
        <f t="array" ref="AL11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90" spans="1:38" x14ac:dyDescent="0.25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IF(tbRh[[#This Row],[Gender]]="Female","Feminino","Masculino")</f>
        <v>Masculino</v>
      </c>
      <c r="AK1190" t="str" cm="1">
        <f t="array" ref="AK1190">_xlfn.IFS(H1190="Life Sciences", "Ciências da Vida", H1190="Other", "Outro", H1190="Medical", "Médico", H1190="Technical Degree", "Curso Técnico", H1190="Marketing", "Marketing", H1190="Human Resources", "Recursos Humanos")</f>
        <v>Médico</v>
      </c>
      <c r="AL1190" t="str" cm="1">
        <f t="array" ref="AL119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91" spans="1:38" x14ac:dyDescent="0.25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IF(tbRh[[#This Row],[Gender]]="Female","Feminino","Masculino")</f>
        <v>Masculino</v>
      </c>
      <c r="AK1191" t="str" cm="1">
        <f t="array" ref="AK1191">_xlfn.IFS(H1191="Life Sciences", "Ciências da Vida", H1191="Other", "Outro", H1191="Medical", "Médico", H1191="Technical Degree", "Curso Técnico", H1191="Marketing", "Marketing", H1191="Human Resources", "Recursos Humanos")</f>
        <v>Médico</v>
      </c>
      <c r="AL1191" t="str" cm="1">
        <f t="array" ref="AL119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92" spans="1:38" x14ac:dyDescent="0.25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IF(tbRh[[#This Row],[Gender]]="Female","Feminino","Masculino")</f>
        <v>Masculino</v>
      </c>
      <c r="AK1192" t="str" cm="1">
        <f t="array" ref="AK1192">_xlfn.IFS(H1192="Life Sciences", "Ciências da Vida", H1192="Other", "Outro", H1192="Medical", "Médico", H1192="Technical Degree", "Curso Técnico", H1192="Marketing", "Marketing", H1192="Human Resources", "Recursos Humanos")</f>
        <v>Médico</v>
      </c>
      <c r="AL1192" t="str" cm="1">
        <f t="array" ref="AL11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93" spans="1:38" x14ac:dyDescent="0.25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IF(tbRh[[#This Row],[Gender]]="Female","Feminino","Masculino")</f>
        <v>Feminino</v>
      </c>
      <c r="AK1193" t="str" cm="1">
        <f t="array" ref="AK1193">_xlfn.IFS(H1193="Life Sciences", "Ciências da Vida", H1193="Other", "Outro", H1193="Medical", "Médico", H1193="Technical Degree", "Curso Técnico", H1193="Marketing", "Marketing", H1193="Human Resources", "Recursos Humanos")</f>
        <v>Ciências da Vida</v>
      </c>
      <c r="AL1193" t="str" cm="1">
        <f t="array" ref="AL119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94" spans="1:38" x14ac:dyDescent="0.25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IF(tbRh[[#This Row],[Gender]]="Female","Feminino","Masculino")</f>
        <v>Feminino</v>
      </c>
      <c r="AK1194" t="str" cm="1">
        <f t="array" ref="AK1194">_xlfn.IFS(H1194="Life Sciences", "Ciências da Vida", H1194="Other", "Outro", H1194="Medical", "Médico", H1194="Technical Degree", "Curso Técnico", H1194="Marketing", "Marketing", H1194="Human Resources", "Recursos Humanos")</f>
        <v>Médico</v>
      </c>
      <c r="AL1194" t="str" cm="1">
        <f t="array" ref="AL119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95" spans="1:38" x14ac:dyDescent="0.25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IF(tbRh[[#This Row],[Gender]]="Female","Feminino","Masculino")</f>
        <v>Feminino</v>
      </c>
      <c r="AK1195" t="str" cm="1">
        <f t="array" ref="AK1195">_xlfn.IFS(H1195="Life Sciences", "Ciências da Vida", H1195="Other", "Outro", H1195="Medical", "Médico", H1195="Technical Degree", "Curso Técnico", H1195="Marketing", "Marketing", H1195="Human Resources", "Recursos Humanos")</f>
        <v>Médico</v>
      </c>
      <c r="AL1195" t="str" cm="1">
        <f t="array" ref="AL11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96" spans="1:38" x14ac:dyDescent="0.25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IF(tbRh[[#This Row],[Gender]]="Female","Feminino","Masculino")</f>
        <v>Feminino</v>
      </c>
      <c r="AK1196" t="str" cm="1">
        <f t="array" ref="AK1196">_xlfn.IFS(H1196="Life Sciences", "Ciências da Vida", H1196="Other", "Outro", H1196="Medical", "Médico", H1196="Technical Degree", "Curso Técnico", H1196="Marketing", "Marketing", H1196="Human Resources", "Recursos Humanos")</f>
        <v>Ciências da Vida</v>
      </c>
      <c r="AL1196" t="str" cm="1">
        <f t="array" ref="AL119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97" spans="1:38" x14ac:dyDescent="0.25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IF(tbRh[[#This Row],[Gender]]="Female","Feminino","Masculino")</f>
        <v>Masculino</v>
      </c>
      <c r="AK1197" t="str" cm="1">
        <f t="array" ref="AK1197">_xlfn.IFS(H1197="Life Sciences", "Ciências da Vida", H1197="Other", "Outro", H1197="Medical", "Médico", H1197="Technical Degree", "Curso Técnico", H1197="Marketing", "Marketing", H1197="Human Resources", "Recursos Humanos")</f>
        <v>Ciências da Vida</v>
      </c>
      <c r="AL1197" t="str" cm="1">
        <f t="array" ref="AL119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198" spans="1:38" x14ac:dyDescent="0.25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IF(tbRh[[#This Row],[Gender]]="Female","Feminino","Masculino")</f>
        <v>Masculino</v>
      </c>
      <c r="AK1198" t="str" cm="1">
        <f t="array" ref="AK1198">_xlfn.IFS(H1198="Life Sciences", "Ciências da Vida", H1198="Other", "Outro", H1198="Medical", "Médico", H1198="Technical Degree", "Curso Técnico", H1198="Marketing", "Marketing", H1198="Human Resources", "Recursos Humanos")</f>
        <v>Ciências da Vida</v>
      </c>
      <c r="AL1198" t="str" cm="1">
        <f t="array" ref="AL119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199" spans="1:38" x14ac:dyDescent="0.25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IF(tbRh[[#This Row],[Gender]]="Female","Feminino","Masculino")</f>
        <v>Masculino</v>
      </c>
      <c r="AK1199" t="str" cm="1">
        <f t="array" ref="AK1199">_xlfn.IFS(H1199="Life Sciences", "Ciências da Vida", H1199="Other", "Outro", H1199="Medical", "Médico", H1199="Technical Degree", "Curso Técnico", H1199="Marketing", "Marketing", H1199="Human Resources", "Recursos Humanos")</f>
        <v>Ciências da Vida</v>
      </c>
      <c r="AL1199" t="str" cm="1">
        <f t="array" ref="AL119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00" spans="1:38" x14ac:dyDescent="0.25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IF(tbRh[[#This Row],[Gender]]="Female","Feminino","Masculino")</f>
        <v>Feminino</v>
      </c>
      <c r="AK1200" t="str" cm="1">
        <f t="array" ref="AK1200">_xlfn.IFS(H1200="Life Sciences", "Ciências da Vida", H1200="Other", "Outro", H1200="Medical", "Médico", H1200="Technical Degree", "Curso Técnico", H1200="Marketing", "Marketing", H1200="Human Resources", "Recursos Humanos")</f>
        <v>Ciências da Vida</v>
      </c>
      <c r="AL1200" t="str" cm="1">
        <f t="array" ref="AL120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01" spans="1:38" x14ac:dyDescent="0.25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IF(tbRh[[#This Row],[Gender]]="Female","Feminino","Masculino")</f>
        <v>Masculino</v>
      </c>
      <c r="AK1201" t="str" cm="1">
        <f t="array" ref="AK1201">_xlfn.IFS(H1201="Life Sciences", "Ciências da Vida", H1201="Other", "Outro", H1201="Medical", "Médico", H1201="Technical Degree", "Curso Técnico", H1201="Marketing", "Marketing", H1201="Human Resources", "Recursos Humanos")</f>
        <v>Ciências da Vida</v>
      </c>
      <c r="AL1201" t="str" cm="1">
        <f t="array" ref="AL12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02" spans="1:38" x14ac:dyDescent="0.25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IF(tbRh[[#This Row],[Gender]]="Female","Feminino","Masculino")</f>
        <v>Feminino</v>
      </c>
      <c r="AK1202" t="str" cm="1">
        <f t="array" ref="AK1202">_xlfn.IFS(H1202="Life Sciences", "Ciências da Vida", H1202="Other", "Outro", H1202="Medical", "Médico", H1202="Technical Degree", "Curso Técnico", H1202="Marketing", "Marketing", H1202="Human Resources", "Recursos Humanos")</f>
        <v>Ciências da Vida</v>
      </c>
      <c r="AL1202" t="str" cm="1">
        <f t="array" ref="AL120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03" spans="1:38" x14ac:dyDescent="0.25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IF(tbRh[[#This Row],[Gender]]="Female","Feminino","Masculino")</f>
        <v>Masculino</v>
      </c>
      <c r="AK1203" t="str" cm="1">
        <f t="array" ref="AK1203">_xlfn.IFS(H1203="Life Sciences", "Ciências da Vida", H1203="Other", "Outro", H1203="Medical", "Médico", H1203="Technical Degree", "Curso Técnico", H1203="Marketing", "Marketing", H1203="Human Resources", "Recursos Humanos")</f>
        <v>Médico</v>
      </c>
      <c r="AL1203" t="str" cm="1">
        <f t="array" ref="AL120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04" spans="1:38" x14ac:dyDescent="0.25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IF(tbRh[[#This Row],[Gender]]="Female","Feminino","Masculino")</f>
        <v>Feminino</v>
      </c>
      <c r="AK1204" t="str" cm="1">
        <f t="array" ref="AK1204">_xlfn.IFS(H1204="Life Sciences", "Ciências da Vida", H1204="Other", "Outro", H1204="Medical", "Médico", H1204="Technical Degree", "Curso Técnico", H1204="Marketing", "Marketing", H1204="Human Resources", "Recursos Humanos")</f>
        <v>Médico</v>
      </c>
      <c r="AL1204" t="str" cm="1">
        <f t="array" ref="AL12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05" spans="1:38" x14ac:dyDescent="0.25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IF(tbRh[[#This Row],[Gender]]="Female","Feminino","Masculino")</f>
        <v>Masculino</v>
      </c>
      <c r="AK1205" t="str" cm="1">
        <f t="array" ref="AK1205">_xlfn.IFS(H1205="Life Sciences", "Ciências da Vida", H1205="Other", "Outro", H1205="Medical", "Médico", H1205="Technical Degree", "Curso Técnico", H1205="Marketing", "Marketing", H1205="Human Resources", "Recursos Humanos")</f>
        <v>Médico</v>
      </c>
      <c r="AL1205" t="str" cm="1">
        <f t="array" ref="AL12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06" spans="1:38" x14ac:dyDescent="0.25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IF(tbRh[[#This Row],[Gender]]="Female","Feminino","Masculino")</f>
        <v>Feminino</v>
      </c>
      <c r="AK1206" t="str" cm="1">
        <f t="array" ref="AK1206">_xlfn.IFS(H1206="Life Sciences", "Ciências da Vida", H1206="Other", "Outro", H1206="Medical", "Médico", H1206="Technical Degree", "Curso Técnico", H1206="Marketing", "Marketing", H1206="Human Resources", "Recursos Humanos")</f>
        <v>Médico</v>
      </c>
      <c r="AL1206" t="str" cm="1">
        <f t="array" ref="AL120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07" spans="1:38" x14ac:dyDescent="0.25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IF(tbRh[[#This Row],[Gender]]="Female","Feminino","Masculino")</f>
        <v>Masculino</v>
      </c>
      <c r="AK1207" t="str" cm="1">
        <f t="array" ref="AK1207">_xlfn.IFS(H1207="Life Sciences", "Ciências da Vida", H1207="Other", "Outro", H1207="Medical", "Médico", H1207="Technical Degree", "Curso Técnico", H1207="Marketing", "Marketing", H1207="Human Resources", "Recursos Humanos")</f>
        <v>Ciências da Vida</v>
      </c>
      <c r="AL1207" t="str" cm="1">
        <f t="array" ref="AL12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08" spans="1:38" x14ac:dyDescent="0.25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IF(tbRh[[#This Row],[Gender]]="Female","Feminino","Masculino")</f>
        <v>Masculino</v>
      </c>
      <c r="AK1208" t="str" cm="1">
        <f t="array" ref="AK1208">_xlfn.IFS(H1208="Life Sciences", "Ciências da Vida", H1208="Other", "Outro", H1208="Medical", "Médico", H1208="Technical Degree", "Curso Técnico", H1208="Marketing", "Marketing", H1208="Human Resources", "Recursos Humanos")</f>
        <v>Médico</v>
      </c>
      <c r="AL1208" t="str" cm="1">
        <f t="array" ref="AL12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09" spans="1:38" x14ac:dyDescent="0.25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IF(tbRh[[#This Row],[Gender]]="Female","Feminino","Masculino")</f>
        <v>Masculino</v>
      </c>
      <c r="AK1209" t="str" cm="1">
        <f t="array" ref="AK1209">_xlfn.IFS(H1209="Life Sciences", "Ciências da Vida", H1209="Other", "Outro", H1209="Medical", "Médico", H1209="Technical Degree", "Curso Técnico", H1209="Marketing", "Marketing", H1209="Human Resources", "Recursos Humanos")</f>
        <v>Curso Técnico</v>
      </c>
      <c r="AL1209" t="str" cm="1">
        <f t="array" ref="AL12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0" spans="1:38" x14ac:dyDescent="0.25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IF(tbRh[[#This Row],[Gender]]="Female","Feminino","Masculino")</f>
        <v>Masculino</v>
      </c>
      <c r="AK1210" t="str" cm="1">
        <f t="array" ref="AK1210">_xlfn.IFS(H1210="Life Sciences", "Ciências da Vida", H1210="Other", "Outro", H1210="Medical", "Médico", H1210="Technical Degree", "Curso Técnico", H1210="Marketing", "Marketing", H1210="Human Resources", "Recursos Humanos")</f>
        <v>Médico</v>
      </c>
      <c r="AL1210" t="str" cm="1">
        <f t="array" ref="AL12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1" spans="1:38" x14ac:dyDescent="0.25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IF(tbRh[[#This Row],[Gender]]="Female","Feminino","Masculino")</f>
        <v>Masculino</v>
      </c>
      <c r="AK1211" t="str" cm="1">
        <f t="array" ref="AK1211">_xlfn.IFS(H1211="Life Sciences", "Ciências da Vida", H1211="Other", "Outro", H1211="Medical", "Médico", H1211="Technical Degree", "Curso Técnico", H1211="Marketing", "Marketing", H1211="Human Resources", "Recursos Humanos")</f>
        <v>Médico</v>
      </c>
      <c r="AL1211" t="str" cm="1">
        <f t="array" ref="AL12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2" spans="1:38" x14ac:dyDescent="0.25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IF(tbRh[[#This Row],[Gender]]="Female","Feminino","Masculino")</f>
        <v>Masculino</v>
      </c>
      <c r="AK1212" t="str" cm="1">
        <f t="array" ref="AK1212">_xlfn.IFS(H1212="Life Sciences", "Ciências da Vida", H1212="Other", "Outro", H1212="Medical", "Médico", H1212="Technical Degree", "Curso Técnico", H1212="Marketing", "Marketing", H1212="Human Resources", "Recursos Humanos")</f>
        <v>Médico</v>
      </c>
      <c r="AL1212" t="str" cm="1">
        <f t="array" ref="AL12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3" spans="1:38" x14ac:dyDescent="0.25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IF(tbRh[[#This Row],[Gender]]="Female","Feminino","Masculino")</f>
        <v>Masculino</v>
      </c>
      <c r="AK1213" t="str" cm="1">
        <f t="array" ref="AK1213">_xlfn.IFS(H1213="Life Sciences", "Ciências da Vida", H1213="Other", "Outro", H1213="Medical", "Médico", H1213="Technical Degree", "Curso Técnico", H1213="Marketing", "Marketing", H1213="Human Resources", "Recursos Humanos")</f>
        <v>Médico</v>
      </c>
      <c r="AL1213" t="str" cm="1">
        <f t="array" ref="AL121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14" spans="1:38" x14ac:dyDescent="0.25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IF(tbRh[[#This Row],[Gender]]="Female","Feminino","Masculino")</f>
        <v>Feminino</v>
      </c>
      <c r="AK1214" t="str" cm="1">
        <f t="array" ref="AK1214">_xlfn.IFS(H1214="Life Sciences", "Ciências da Vida", H1214="Other", "Outro", H1214="Medical", "Médico", H1214="Technical Degree", "Curso Técnico", H1214="Marketing", "Marketing", H1214="Human Resources", "Recursos Humanos")</f>
        <v>Ciências da Vida</v>
      </c>
      <c r="AL1214" t="str" cm="1">
        <f t="array" ref="AL12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5" spans="1:38" x14ac:dyDescent="0.25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IF(tbRh[[#This Row],[Gender]]="Female","Feminino","Masculino")</f>
        <v>Masculino</v>
      </c>
      <c r="AK1215" t="str" cm="1">
        <f t="array" ref="AK1215">_xlfn.IFS(H1215="Life Sciences", "Ciências da Vida", H1215="Other", "Outro", H1215="Medical", "Médico", H1215="Technical Degree", "Curso Técnico", H1215="Marketing", "Marketing", H1215="Human Resources", "Recursos Humanos")</f>
        <v>Ciências da Vida</v>
      </c>
      <c r="AL1215" t="str" cm="1">
        <f t="array" ref="AL121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16" spans="1:38" x14ac:dyDescent="0.25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IF(tbRh[[#This Row],[Gender]]="Female","Feminino","Masculino")</f>
        <v>Feminino</v>
      </c>
      <c r="AK1216" t="str" cm="1">
        <f t="array" ref="AK1216">_xlfn.IFS(H1216="Life Sciences", "Ciências da Vida", H1216="Other", "Outro", H1216="Medical", "Médico", H1216="Technical Degree", "Curso Técnico", H1216="Marketing", "Marketing", H1216="Human Resources", "Recursos Humanos")</f>
        <v>Ciências da Vida</v>
      </c>
      <c r="AL1216" t="str" cm="1">
        <f t="array" ref="AL12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7" spans="1:38" x14ac:dyDescent="0.25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IF(tbRh[[#This Row],[Gender]]="Female","Feminino","Masculino")</f>
        <v>Masculino</v>
      </c>
      <c r="AK1217" t="str" cm="1">
        <f t="array" ref="AK1217">_xlfn.IFS(H1217="Life Sciences", "Ciências da Vida", H1217="Other", "Outro", H1217="Medical", "Médico", H1217="Technical Degree", "Curso Técnico", H1217="Marketing", "Marketing", H1217="Human Resources", "Recursos Humanos")</f>
        <v>Médico</v>
      </c>
      <c r="AL1217" t="str" cm="1">
        <f t="array" ref="AL12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18" spans="1:38" x14ac:dyDescent="0.25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IF(tbRh[[#This Row],[Gender]]="Female","Feminino","Masculino")</f>
        <v>Masculino</v>
      </c>
      <c r="AK1218" t="str" cm="1">
        <f t="array" ref="AK1218">_xlfn.IFS(H1218="Life Sciences", "Ciências da Vida", H1218="Other", "Outro", H1218="Medical", "Médico", H1218="Technical Degree", "Curso Técnico", H1218="Marketing", "Marketing", H1218="Human Resources", "Recursos Humanos")</f>
        <v>Médico</v>
      </c>
      <c r="AL1218" t="str" cm="1">
        <f t="array" ref="AL12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19" spans="1:38" x14ac:dyDescent="0.25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IF(tbRh[[#This Row],[Gender]]="Female","Feminino","Masculino")</f>
        <v>Masculino</v>
      </c>
      <c r="AK1219" t="str" cm="1">
        <f t="array" ref="AK1219">_xlfn.IFS(H1219="Life Sciences", "Ciências da Vida", H1219="Other", "Outro", H1219="Medical", "Médico", H1219="Technical Degree", "Curso Técnico", H1219="Marketing", "Marketing", H1219="Human Resources", "Recursos Humanos")</f>
        <v>Médico</v>
      </c>
      <c r="AL1219" t="str" cm="1">
        <f t="array" ref="AL12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20" spans="1:38" x14ac:dyDescent="0.25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IF(tbRh[[#This Row],[Gender]]="Female","Feminino","Masculino")</f>
        <v>Masculino</v>
      </c>
      <c r="AK1220" t="str" cm="1">
        <f t="array" ref="AK1220">_xlfn.IFS(H1220="Life Sciences", "Ciências da Vida", H1220="Other", "Outro", H1220="Medical", "Médico", H1220="Technical Degree", "Curso Técnico", H1220="Marketing", "Marketing", H1220="Human Resources", "Recursos Humanos")</f>
        <v>Marketing</v>
      </c>
      <c r="AL1220" t="str" cm="1">
        <f t="array" ref="AL122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21" spans="1:38" x14ac:dyDescent="0.25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IF(tbRh[[#This Row],[Gender]]="Female","Feminino","Masculino")</f>
        <v>Feminino</v>
      </c>
      <c r="AK1221" t="str" cm="1">
        <f t="array" ref="AK1221">_xlfn.IFS(H1221="Life Sciences", "Ciências da Vida", H1221="Other", "Outro", H1221="Medical", "Médico", H1221="Technical Degree", "Curso Técnico", H1221="Marketing", "Marketing", H1221="Human Resources", "Recursos Humanos")</f>
        <v>Médico</v>
      </c>
      <c r="AL1221" t="str" cm="1">
        <f t="array" ref="AL12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22" spans="1:38" x14ac:dyDescent="0.25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IF(tbRh[[#This Row],[Gender]]="Female","Feminino","Masculino")</f>
        <v>Feminino</v>
      </c>
      <c r="AK1222" t="str" cm="1">
        <f t="array" ref="AK1222">_xlfn.IFS(H1222="Life Sciences", "Ciências da Vida", H1222="Other", "Outro", H1222="Medical", "Médico", H1222="Technical Degree", "Curso Técnico", H1222="Marketing", "Marketing", H1222="Human Resources", "Recursos Humanos")</f>
        <v>Ciências da Vida</v>
      </c>
      <c r="AL1222" t="str" cm="1">
        <f t="array" ref="AL122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23" spans="1:38" x14ac:dyDescent="0.25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IF(tbRh[[#This Row],[Gender]]="Female","Feminino","Masculino")</f>
        <v>Masculino</v>
      </c>
      <c r="AK1223" t="str" cm="1">
        <f t="array" ref="AK1223">_xlfn.IFS(H1223="Life Sciences", "Ciências da Vida", H1223="Other", "Outro", H1223="Medical", "Médico", H1223="Technical Degree", "Curso Técnico", H1223="Marketing", "Marketing", H1223="Human Resources", "Recursos Humanos")</f>
        <v>Ciências da Vida</v>
      </c>
      <c r="AL1223" t="str" cm="1">
        <f t="array" ref="AL12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24" spans="1:38" x14ac:dyDescent="0.25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IF(tbRh[[#This Row],[Gender]]="Female","Feminino","Masculino")</f>
        <v>Masculino</v>
      </c>
      <c r="AK1224" t="str" cm="1">
        <f t="array" ref="AK1224">_xlfn.IFS(H1224="Life Sciences", "Ciências da Vida", H1224="Other", "Outro", H1224="Medical", "Médico", H1224="Technical Degree", "Curso Técnico", H1224="Marketing", "Marketing", H1224="Human Resources", "Recursos Humanos")</f>
        <v>Recursos Humanos</v>
      </c>
      <c r="AL1224" t="str" cm="1">
        <f t="array" ref="AL1224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25" spans="1:38" x14ac:dyDescent="0.25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IF(tbRh[[#This Row],[Gender]]="Female","Feminino","Masculino")</f>
        <v>Masculino</v>
      </c>
      <c r="AK1225" t="str" cm="1">
        <f t="array" ref="AK1225">_xlfn.IFS(H1225="Life Sciences", "Ciências da Vida", H1225="Other", "Outro", H1225="Medical", "Médico", H1225="Technical Degree", "Curso Técnico", H1225="Marketing", "Marketing", H1225="Human Resources", "Recursos Humanos")</f>
        <v>Ciências da Vida</v>
      </c>
      <c r="AL1225" t="str" cm="1">
        <f t="array" ref="AL122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26" spans="1:38" x14ac:dyDescent="0.25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IF(tbRh[[#This Row],[Gender]]="Female","Feminino","Masculino")</f>
        <v>Masculino</v>
      </c>
      <c r="AK1226" t="str" cm="1">
        <f t="array" ref="AK1226">_xlfn.IFS(H1226="Life Sciences", "Ciências da Vida", H1226="Other", "Outro", H1226="Medical", "Médico", H1226="Technical Degree", "Curso Técnico", H1226="Marketing", "Marketing", H1226="Human Resources", "Recursos Humanos")</f>
        <v>Médico</v>
      </c>
      <c r="AL1226" t="str" cm="1">
        <f t="array" ref="AL12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27" spans="1:38" x14ac:dyDescent="0.25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IF(tbRh[[#This Row],[Gender]]="Female","Feminino","Masculino")</f>
        <v>Feminino</v>
      </c>
      <c r="AK1227" t="str" cm="1">
        <f t="array" ref="AK1227">_xlfn.IFS(H1227="Life Sciences", "Ciências da Vida", H1227="Other", "Outro", H1227="Medical", "Médico", H1227="Technical Degree", "Curso Técnico", H1227="Marketing", "Marketing", H1227="Human Resources", "Recursos Humanos")</f>
        <v>Curso Técnico</v>
      </c>
      <c r="AL1227" t="str" cm="1">
        <f t="array" ref="AL12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28" spans="1:38" x14ac:dyDescent="0.25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IF(tbRh[[#This Row],[Gender]]="Female","Feminino","Masculino")</f>
        <v>Masculino</v>
      </c>
      <c r="AK1228" t="str" cm="1">
        <f t="array" ref="AK1228">_xlfn.IFS(H1228="Life Sciences", "Ciências da Vida", H1228="Other", "Outro", H1228="Medical", "Médico", H1228="Technical Degree", "Curso Técnico", H1228="Marketing", "Marketing", H1228="Human Resources", "Recursos Humanos")</f>
        <v>Ciências da Vida</v>
      </c>
      <c r="AL1228" t="str" cm="1">
        <f t="array" ref="AL12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29" spans="1:38" x14ac:dyDescent="0.25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IF(tbRh[[#This Row],[Gender]]="Female","Feminino","Masculino")</f>
        <v>Masculino</v>
      </c>
      <c r="AK1229" t="str" cm="1">
        <f t="array" ref="AK1229">_xlfn.IFS(H1229="Life Sciences", "Ciências da Vida", H1229="Other", "Outro", H1229="Medical", "Médico", H1229="Technical Degree", "Curso Técnico", H1229="Marketing", "Marketing", H1229="Human Resources", "Recursos Humanos")</f>
        <v>Ciências da Vida</v>
      </c>
      <c r="AL1229" t="str" cm="1">
        <f t="array" ref="AL12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0" spans="1:38" x14ac:dyDescent="0.25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IF(tbRh[[#This Row],[Gender]]="Female","Feminino","Masculino")</f>
        <v>Masculino</v>
      </c>
      <c r="AK1230" t="str" cm="1">
        <f t="array" ref="AK1230">_xlfn.IFS(H1230="Life Sciences", "Ciências da Vida", H1230="Other", "Outro", H1230="Medical", "Médico", H1230="Technical Degree", "Curso Técnico", H1230="Marketing", "Marketing", H1230="Human Resources", "Recursos Humanos")</f>
        <v>Recursos Humanos</v>
      </c>
      <c r="AL1230" t="str" cm="1">
        <f t="array" ref="AL1230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31" spans="1:38" x14ac:dyDescent="0.25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IF(tbRh[[#This Row],[Gender]]="Female","Feminino","Masculino")</f>
        <v>Feminino</v>
      </c>
      <c r="AK1231" t="str" cm="1">
        <f t="array" ref="AK1231">_xlfn.IFS(H1231="Life Sciences", "Ciências da Vida", H1231="Other", "Outro", H1231="Medical", "Médico", H1231="Technical Degree", "Curso Técnico", H1231="Marketing", "Marketing", H1231="Human Resources", "Recursos Humanos")</f>
        <v>Ciências da Vida</v>
      </c>
      <c r="AL1231" t="str" cm="1">
        <f t="array" ref="AL12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2" spans="1:38" x14ac:dyDescent="0.25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IF(tbRh[[#This Row],[Gender]]="Female","Feminino","Masculino")</f>
        <v>Masculino</v>
      </c>
      <c r="AK1232" t="str" cm="1">
        <f t="array" ref="AK1232">_xlfn.IFS(H1232="Life Sciences", "Ciências da Vida", H1232="Other", "Outro", H1232="Medical", "Médico", H1232="Technical Degree", "Curso Técnico", H1232="Marketing", "Marketing", H1232="Human Resources", "Recursos Humanos")</f>
        <v>Médico</v>
      </c>
      <c r="AL1232" t="str" cm="1">
        <f t="array" ref="AL12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3" spans="1:38" x14ac:dyDescent="0.25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IF(tbRh[[#This Row],[Gender]]="Female","Feminino","Masculino")</f>
        <v>Masculino</v>
      </c>
      <c r="AK1233" t="str" cm="1">
        <f t="array" ref="AK1233">_xlfn.IFS(H1233="Life Sciences", "Ciências da Vida", H1233="Other", "Outro", H1233="Medical", "Médico", H1233="Technical Degree", "Curso Técnico", H1233="Marketing", "Marketing", H1233="Human Resources", "Recursos Humanos")</f>
        <v>Ciências da Vida</v>
      </c>
      <c r="AL1233" t="str" cm="1">
        <f t="array" ref="AL12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4" spans="1:38" x14ac:dyDescent="0.25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IF(tbRh[[#This Row],[Gender]]="Female","Feminino","Masculino")</f>
        <v>Masculino</v>
      </c>
      <c r="AK1234" t="str" cm="1">
        <f t="array" ref="AK1234">_xlfn.IFS(H1234="Life Sciences", "Ciências da Vida", H1234="Other", "Outro", H1234="Medical", "Médico", H1234="Technical Degree", "Curso Técnico", H1234="Marketing", "Marketing", H1234="Human Resources", "Recursos Humanos")</f>
        <v>Ciências da Vida</v>
      </c>
      <c r="AL1234" t="str" cm="1">
        <f t="array" ref="AL12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5" spans="1:38" x14ac:dyDescent="0.25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IF(tbRh[[#This Row],[Gender]]="Female","Feminino","Masculino")</f>
        <v>Masculino</v>
      </c>
      <c r="AK1235" t="str" cm="1">
        <f t="array" ref="AK1235">_xlfn.IFS(H1235="Life Sciences", "Ciências da Vida", H1235="Other", "Outro", H1235="Medical", "Médico", H1235="Technical Degree", "Curso Técnico", H1235="Marketing", "Marketing", H1235="Human Resources", "Recursos Humanos")</f>
        <v>Ciências da Vida</v>
      </c>
      <c r="AL1235" t="str" cm="1">
        <f t="array" ref="AL123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36" spans="1:38" x14ac:dyDescent="0.25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IF(tbRh[[#This Row],[Gender]]="Female","Feminino","Masculino")</f>
        <v>Masculino</v>
      </c>
      <c r="AK1236" t="str" cm="1">
        <f t="array" ref="AK1236">_xlfn.IFS(H1236="Life Sciences", "Ciências da Vida", H1236="Other", "Outro", H1236="Medical", "Médico", H1236="Technical Degree", "Curso Técnico", H1236="Marketing", "Marketing", H1236="Human Resources", "Recursos Humanos")</f>
        <v>Marketing</v>
      </c>
      <c r="AL1236" t="str" cm="1">
        <f t="array" ref="AL123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37" spans="1:38" x14ac:dyDescent="0.25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IF(tbRh[[#This Row],[Gender]]="Female","Feminino","Masculino")</f>
        <v>Masculino</v>
      </c>
      <c r="AK1237" t="str" cm="1">
        <f t="array" ref="AK1237">_xlfn.IFS(H1237="Life Sciences", "Ciências da Vida", H1237="Other", "Outro", H1237="Medical", "Médico", H1237="Technical Degree", "Curso Técnico", H1237="Marketing", "Marketing", H1237="Human Resources", "Recursos Humanos")</f>
        <v>Ciências da Vida</v>
      </c>
      <c r="AL1237" t="str" cm="1">
        <f t="array" ref="AL123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38" spans="1:38" x14ac:dyDescent="0.25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IF(tbRh[[#This Row],[Gender]]="Female","Feminino","Masculino")</f>
        <v>Masculino</v>
      </c>
      <c r="AK1238" t="str" cm="1">
        <f t="array" ref="AK1238">_xlfn.IFS(H1238="Life Sciences", "Ciências da Vida", H1238="Other", "Outro", H1238="Medical", "Médico", H1238="Technical Degree", "Curso Técnico", H1238="Marketing", "Marketing", H1238="Human Resources", "Recursos Humanos")</f>
        <v>Marketing</v>
      </c>
      <c r="AL1238" t="str" cm="1">
        <f t="array" ref="AL123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39" spans="1:38" x14ac:dyDescent="0.25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IF(tbRh[[#This Row],[Gender]]="Female","Feminino","Masculino")</f>
        <v>Masculino</v>
      </c>
      <c r="AK1239" t="str" cm="1">
        <f t="array" ref="AK1239">_xlfn.IFS(H1239="Life Sciences", "Ciências da Vida", H1239="Other", "Outro", H1239="Medical", "Médico", H1239="Technical Degree", "Curso Técnico", H1239="Marketing", "Marketing", H1239="Human Resources", "Recursos Humanos")</f>
        <v>Ciências da Vida</v>
      </c>
      <c r="AL1239" t="str" cm="1">
        <f t="array" ref="AL123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40" spans="1:38" x14ac:dyDescent="0.25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IF(tbRh[[#This Row],[Gender]]="Female","Feminino","Masculino")</f>
        <v>Feminino</v>
      </c>
      <c r="AK1240" t="str" cm="1">
        <f t="array" ref="AK1240">_xlfn.IFS(H1240="Life Sciences", "Ciências da Vida", H1240="Other", "Outro", H1240="Medical", "Médico", H1240="Technical Degree", "Curso Técnico", H1240="Marketing", "Marketing", H1240="Human Resources", "Recursos Humanos")</f>
        <v>Médico</v>
      </c>
      <c r="AL1240" t="str" cm="1">
        <f t="array" ref="AL124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41" spans="1:38" x14ac:dyDescent="0.25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IF(tbRh[[#This Row],[Gender]]="Female","Feminino","Masculino")</f>
        <v>Feminino</v>
      </c>
      <c r="AK1241" t="str" cm="1">
        <f t="array" ref="AK1241">_xlfn.IFS(H1241="Life Sciences", "Ciências da Vida", H1241="Other", "Outro", H1241="Medical", "Médico", H1241="Technical Degree", "Curso Técnico", H1241="Marketing", "Marketing", H1241="Human Resources", "Recursos Humanos")</f>
        <v>Curso Técnico</v>
      </c>
      <c r="AL1241" t="str" cm="1">
        <f t="array" ref="AL12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42" spans="1:38" x14ac:dyDescent="0.25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IF(tbRh[[#This Row],[Gender]]="Female","Feminino","Masculino")</f>
        <v>Masculino</v>
      </c>
      <c r="AK1242" t="str" cm="1">
        <f t="array" ref="AK1242">_xlfn.IFS(H1242="Life Sciences", "Ciências da Vida", H1242="Other", "Outro", H1242="Medical", "Médico", H1242="Technical Degree", "Curso Técnico", H1242="Marketing", "Marketing", H1242="Human Resources", "Recursos Humanos")</f>
        <v>Ciências da Vida</v>
      </c>
      <c r="AL1242" t="str" cm="1">
        <f t="array" ref="AL12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43" spans="1:38" x14ac:dyDescent="0.25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IF(tbRh[[#This Row],[Gender]]="Female","Feminino","Masculino")</f>
        <v>Masculino</v>
      </c>
      <c r="AK1243" t="str" cm="1">
        <f t="array" ref="AK1243">_xlfn.IFS(H1243="Life Sciences", "Ciências da Vida", H1243="Other", "Outro", H1243="Medical", "Médico", H1243="Technical Degree", "Curso Técnico", H1243="Marketing", "Marketing", H1243="Human Resources", "Recursos Humanos")</f>
        <v>Ciências da Vida</v>
      </c>
      <c r="AL1243" t="str" cm="1">
        <f t="array" ref="AL124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44" spans="1:38" x14ac:dyDescent="0.25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IF(tbRh[[#This Row],[Gender]]="Female","Feminino","Masculino")</f>
        <v>Masculino</v>
      </c>
      <c r="AK1244" t="str" cm="1">
        <f t="array" ref="AK1244">_xlfn.IFS(H1244="Life Sciences", "Ciências da Vida", H1244="Other", "Outro", H1244="Medical", "Médico", H1244="Technical Degree", "Curso Técnico", H1244="Marketing", "Marketing", H1244="Human Resources", "Recursos Humanos")</f>
        <v>Médico</v>
      </c>
      <c r="AL1244" t="str" cm="1">
        <f t="array" ref="AL124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45" spans="1:38" x14ac:dyDescent="0.25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IF(tbRh[[#This Row],[Gender]]="Female","Feminino","Masculino")</f>
        <v>Feminino</v>
      </c>
      <c r="AK1245" t="str" cm="1">
        <f t="array" ref="AK1245">_xlfn.IFS(H1245="Life Sciences", "Ciências da Vida", H1245="Other", "Outro", H1245="Medical", "Médico", H1245="Technical Degree", "Curso Técnico", H1245="Marketing", "Marketing", H1245="Human Resources", "Recursos Humanos")</f>
        <v>Ciências da Vida</v>
      </c>
      <c r="AL1245" t="str" cm="1">
        <f t="array" ref="AL124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46" spans="1:38" x14ac:dyDescent="0.25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IF(tbRh[[#This Row],[Gender]]="Female","Feminino","Masculino")</f>
        <v>Feminino</v>
      </c>
      <c r="AK1246" t="str" cm="1">
        <f t="array" ref="AK1246">_xlfn.IFS(H1246="Life Sciences", "Ciências da Vida", H1246="Other", "Outro", H1246="Medical", "Médico", H1246="Technical Degree", "Curso Técnico", H1246="Marketing", "Marketing", H1246="Human Resources", "Recursos Humanos")</f>
        <v>Curso Técnico</v>
      </c>
      <c r="AL1246" t="str" cm="1">
        <f t="array" ref="AL12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47" spans="1:38" x14ac:dyDescent="0.25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IF(tbRh[[#This Row],[Gender]]="Female","Feminino","Masculino")</f>
        <v>Masculino</v>
      </c>
      <c r="AK1247" t="str" cm="1">
        <f t="array" ref="AK1247">_xlfn.IFS(H1247="Life Sciences", "Ciências da Vida", H1247="Other", "Outro", H1247="Medical", "Médico", H1247="Technical Degree", "Curso Técnico", H1247="Marketing", "Marketing", H1247="Human Resources", "Recursos Humanos")</f>
        <v>Médico</v>
      </c>
      <c r="AL1247" t="str" cm="1">
        <f t="array" ref="AL1247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48" spans="1:38" x14ac:dyDescent="0.25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IF(tbRh[[#This Row],[Gender]]="Female","Feminino","Masculino")</f>
        <v>Feminino</v>
      </c>
      <c r="AK1248" t="str" cm="1">
        <f t="array" ref="AK1248">_xlfn.IFS(H1248="Life Sciences", "Ciências da Vida", H1248="Other", "Outro", H1248="Medical", "Médico", H1248="Technical Degree", "Curso Técnico", H1248="Marketing", "Marketing", H1248="Human Resources", "Recursos Humanos")</f>
        <v>Recursos Humanos</v>
      </c>
      <c r="AL1248" t="str" cm="1">
        <f t="array" ref="AL1248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49" spans="1:38" x14ac:dyDescent="0.25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IF(tbRh[[#This Row],[Gender]]="Female","Feminino","Masculino")</f>
        <v>Masculino</v>
      </c>
      <c r="AK1249" t="str" cm="1">
        <f t="array" ref="AK1249">_xlfn.IFS(H1249="Life Sciences", "Ciências da Vida", H1249="Other", "Outro", H1249="Medical", "Médico", H1249="Technical Degree", "Curso Técnico", H1249="Marketing", "Marketing", H1249="Human Resources", "Recursos Humanos")</f>
        <v>Curso Técnico</v>
      </c>
      <c r="AL1249" t="str" cm="1">
        <f t="array" ref="AL12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50" spans="1:38" x14ac:dyDescent="0.25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IF(tbRh[[#This Row],[Gender]]="Female","Feminino","Masculino")</f>
        <v>Feminino</v>
      </c>
      <c r="AK1250" t="str" cm="1">
        <f t="array" ref="AK1250">_xlfn.IFS(H1250="Life Sciences", "Ciências da Vida", H1250="Other", "Outro", H1250="Medical", "Médico", H1250="Technical Degree", "Curso Técnico", H1250="Marketing", "Marketing", H1250="Human Resources", "Recursos Humanos")</f>
        <v>Médico</v>
      </c>
      <c r="AL1250" t="str" cm="1">
        <f t="array" ref="AL12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51" spans="1:38" x14ac:dyDescent="0.25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IF(tbRh[[#This Row],[Gender]]="Female","Feminino","Masculino")</f>
        <v>Feminino</v>
      </c>
      <c r="AK1251" t="str" cm="1">
        <f t="array" ref="AK1251">_xlfn.IFS(H1251="Life Sciences", "Ciências da Vida", H1251="Other", "Outro", H1251="Medical", "Médico", H1251="Technical Degree", "Curso Técnico", H1251="Marketing", "Marketing", H1251="Human Resources", "Recursos Humanos")</f>
        <v>Marketing</v>
      </c>
      <c r="AL1251" t="str" cm="1">
        <f t="array" ref="AL125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52" spans="1:38" x14ac:dyDescent="0.25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IF(tbRh[[#This Row],[Gender]]="Female","Feminino","Masculino")</f>
        <v>Masculino</v>
      </c>
      <c r="AK1252" t="str" cm="1">
        <f t="array" ref="AK1252">_xlfn.IFS(H1252="Life Sciences", "Ciências da Vida", H1252="Other", "Outro", H1252="Medical", "Médico", H1252="Technical Degree", "Curso Técnico", H1252="Marketing", "Marketing", H1252="Human Resources", "Recursos Humanos")</f>
        <v>Ciências da Vida</v>
      </c>
      <c r="AL1252" t="str" cm="1">
        <f t="array" ref="AL125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53" spans="1:38" x14ac:dyDescent="0.25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IF(tbRh[[#This Row],[Gender]]="Female","Feminino","Masculino")</f>
        <v>Masculino</v>
      </c>
      <c r="AK1253" t="str" cm="1">
        <f t="array" ref="AK1253">_xlfn.IFS(H1253="Life Sciences", "Ciências da Vida", H1253="Other", "Outro", H1253="Medical", "Médico", H1253="Technical Degree", "Curso Técnico", H1253="Marketing", "Marketing", H1253="Human Resources", "Recursos Humanos")</f>
        <v>Marketing</v>
      </c>
      <c r="AL1253" t="str" cm="1">
        <f t="array" ref="AL12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54" spans="1:38" x14ac:dyDescent="0.25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IF(tbRh[[#This Row],[Gender]]="Female","Feminino","Masculino")</f>
        <v>Masculino</v>
      </c>
      <c r="AK1254" t="str" cm="1">
        <f t="array" ref="AK1254">_xlfn.IFS(H1254="Life Sciences", "Ciências da Vida", H1254="Other", "Outro", H1254="Medical", "Médico", H1254="Technical Degree", "Curso Técnico", H1254="Marketing", "Marketing", H1254="Human Resources", "Recursos Humanos")</f>
        <v>Médico</v>
      </c>
      <c r="AL1254" t="str" cm="1">
        <f t="array" ref="AL12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55" spans="1:38" x14ac:dyDescent="0.25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IF(tbRh[[#This Row],[Gender]]="Female","Feminino","Masculino")</f>
        <v>Feminino</v>
      </c>
      <c r="AK1255" t="str" cm="1">
        <f t="array" ref="AK1255">_xlfn.IFS(H1255="Life Sciences", "Ciências da Vida", H1255="Other", "Outro", H1255="Medical", "Médico", H1255="Technical Degree", "Curso Técnico", H1255="Marketing", "Marketing", H1255="Human Resources", "Recursos Humanos")</f>
        <v>Marketing</v>
      </c>
      <c r="AL1255" t="str" cm="1">
        <f t="array" ref="AL125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56" spans="1:38" x14ac:dyDescent="0.25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IF(tbRh[[#This Row],[Gender]]="Female","Feminino","Masculino")</f>
        <v>Feminino</v>
      </c>
      <c r="AK1256" t="str" cm="1">
        <f t="array" ref="AK1256">_xlfn.IFS(H1256="Life Sciences", "Ciências da Vida", H1256="Other", "Outro", H1256="Medical", "Médico", H1256="Technical Degree", "Curso Técnico", H1256="Marketing", "Marketing", H1256="Human Resources", "Recursos Humanos")</f>
        <v>Marketing</v>
      </c>
      <c r="AL1256" t="str" cm="1">
        <f t="array" ref="AL12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57" spans="1:38" x14ac:dyDescent="0.25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IF(tbRh[[#This Row],[Gender]]="Female","Feminino","Masculino")</f>
        <v>Feminino</v>
      </c>
      <c r="AK1257" t="str" cm="1">
        <f t="array" ref="AK1257">_xlfn.IFS(H1257="Life Sciences", "Ciências da Vida", H1257="Other", "Outro", H1257="Medical", "Médico", H1257="Technical Degree", "Curso Técnico", H1257="Marketing", "Marketing", H1257="Human Resources", "Recursos Humanos")</f>
        <v>Ciências da Vida</v>
      </c>
      <c r="AL1257" t="str" cm="1">
        <f t="array" ref="AL125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58" spans="1:38" x14ac:dyDescent="0.25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IF(tbRh[[#This Row],[Gender]]="Female","Feminino","Masculino")</f>
        <v>Feminino</v>
      </c>
      <c r="AK1258" t="str" cm="1">
        <f t="array" ref="AK1258">_xlfn.IFS(H1258="Life Sciences", "Ciências da Vida", H1258="Other", "Outro", H1258="Medical", "Médico", H1258="Technical Degree", "Curso Técnico", H1258="Marketing", "Marketing", H1258="Human Resources", "Recursos Humanos")</f>
        <v>Médico</v>
      </c>
      <c r="AL1258" t="str" cm="1">
        <f t="array" ref="AL12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59" spans="1:38" x14ac:dyDescent="0.25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IF(tbRh[[#This Row],[Gender]]="Female","Feminino","Masculino")</f>
        <v>Masculino</v>
      </c>
      <c r="AK1259" t="str" cm="1">
        <f t="array" ref="AK1259">_xlfn.IFS(H1259="Life Sciences", "Ciências da Vida", H1259="Other", "Outro", H1259="Medical", "Médico", H1259="Technical Degree", "Curso Técnico", H1259="Marketing", "Marketing", H1259="Human Resources", "Recursos Humanos")</f>
        <v>Marketing</v>
      </c>
      <c r="AL1259" t="str" cm="1">
        <f t="array" ref="AL125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60" spans="1:38" x14ac:dyDescent="0.25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IF(tbRh[[#This Row],[Gender]]="Female","Feminino","Masculino")</f>
        <v>Feminino</v>
      </c>
      <c r="AK1260" t="str" cm="1">
        <f t="array" ref="AK1260">_xlfn.IFS(H1260="Life Sciences", "Ciências da Vida", H1260="Other", "Outro", H1260="Medical", "Médico", H1260="Technical Degree", "Curso Técnico", H1260="Marketing", "Marketing", H1260="Human Resources", "Recursos Humanos")</f>
        <v>Curso Técnico</v>
      </c>
      <c r="AL1260" t="str" cm="1">
        <f t="array" ref="AL12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1" spans="1:38" x14ac:dyDescent="0.25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IF(tbRh[[#This Row],[Gender]]="Female","Feminino","Masculino")</f>
        <v>Masculino</v>
      </c>
      <c r="AK1261" t="str" cm="1">
        <f t="array" ref="AK1261">_xlfn.IFS(H1261="Life Sciences", "Ciências da Vida", H1261="Other", "Outro", H1261="Medical", "Médico", H1261="Technical Degree", "Curso Técnico", H1261="Marketing", "Marketing", H1261="Human Resources", "Recursos Humanos")</f>
        <v>Ciências da Vida</v>
      </c>
      <c r="AL1261" t="str" cm="1">
        <f t="array" ref="AL12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2" spans="1:38" x14ac:dyDescent="0.25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IF(tbRh[[#This Row],[Gender]]="Female","Feminino","Masculino")</f>
        <v>Masculino</v>
      </c>
      <c r="AK1262" t="str" cm="1">
        <f t="array" ref="AK1262">_xlfn.IFS(H1262="Life Sciences", "Ciências da Vida", H1262="Other", "Outro", H1262="Medical", "Médico", H1262="Technical Degree", "Curso Técnico", H1262="Marketing", "Marketing", H1262="Human Resources", "Recursos Humanos")</f>
        <v>Curso Técnico</v>
      </c>
      <c r="AL1262" t="str" cm="1">
        <f t="array" ref="AL12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3" spans="1:38" x14ac:dyDescent="0.25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IF(tbRh[[#This Row],[Gender]]="Female","Feminino","Masculino")</f>
        <v>Masculino</v>
      </c>
      <c r="AK1263" t="str" cm="1">
        <f t="array" ref="AK1263">_xlfn.IFS(H1263="Life Sciences", "Ciências da Vida", H1263="Other", "Outro", H1263="Medical", "Médico", H1263="Technical Degree", "Curso Técnico", H1263="Marketing", "Marketing", H1263="Human Resources", "Recursos Humanos")</f>
        <v>Médico</v>
      </c>
      <c r="AL1263" t="str" cm="1">
        <f t="array" ref="AL12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4" spans="1:38" x14ac:dyDescent="0.25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IF(tbRh[[#This Row],[Gender]]="Female","Feminino","Masculino")</f>
        <v>Masculino</v>
      </c>
      <c r="AK1264" t="str" cm="1">
        <f t="array" ref="AK1264">_xlfn.IFS(H1264="Life Sciences", "Ciências da Vida", H1264="Other", "Outro", H1264="Medical", "Médico", H1264="Technical Degree", "Curso Técnico", H1264="Marketing", "Marketing", H1264="Human Resources", "Recursos Humanos")</f>
        <v>Curso Técnico</v>
      </c>
      <c r="AL1264" t="str" cm="1">
        <f t="array" ref="AL12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5" spans="1:38" x14ac:dyDescent="0.25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IF(tbRh[[#This Row],[Gender]]="Female","Feminino","Masculino")</f>
        <v>Masculino</v>
      </c>
      <c r="AK1265" t="str" cm="1">
        <f t="array" ref="AK1265">_xlfn.IFS(H1265="Life Sciences", "Ciências da Vida", H1265="Other", "Outro", H1265="Medical", "Médico", H1265="Technical Degree", "Curso Técnico", H1265="Marketing", "Marketing", H1265="Human Resources", "Recursos Humanos")</f>
        <v>Médico</v>
      </c>
      <c r="AL1265" t="str" cm="1">
        <f t="array" ref="AL126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6" spans="1:38" x14ac:dyDescent="0.25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IF(tbRh[[#This Row],[Gender]]="Female","Feminino","Masculino")</f>
        <v>Masculino</v>
      </c>
      <c r="AK1266" t="str" cm="1">
        <f t="array" ref="AK1266">_xlfn.IFS(H1266="Life Sciences", "Ciências da Vida", H1266="Other", "Outro", H1266="Medical", "Médico", H1266="Technical Degree", "Curso Técnico", H1266="Marketing", "Marketing", H1266="Human Resources", "Recursos Humanos")</f>
        <v>Médico</v>
      </c>
      <c r="AL1266" t="str" cm="1">
        <f t="array" ref="AL126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7" spans="1:38" x14ac:dyDescent="0.25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IF(tbRh[[#This Row],[Gender]]="Female","Feminino","Masculino")</f>
        <v>Masculino</v>
      </c>
      <c r="AK1267" t="str" cm="1">
        <f t="array" ref="AK1267">_xlfn.IFS(H1267="Life Sciences", "Ciências da Vida", H1267="Other", "Outro", H1267="Medical", "Médico", H1267="Technical Degree", "Curso Técnico", H1267="Marketing", "Marketing", H1267="Human Resources", "Recursos Humanos")</f>
        <v>Curso Técnico</v>
      </c>
      <c r="AL1267" t="str" cm="1">
        <f t="array" ref="AL12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8" spans="1:38" x14ac:dyDescent="0.25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IF(tbRh[[#This Row],[Gender]]="Female","Feminino","Masculino")</f>
        <v>Masculino</v>
      </c>
      <c r="AK1268" t="str" cm="1">
        <f t="array" ref="AK1268">_xlfn.IFS(H1268="Life Sciences", "Ciências da Vida", H1268="Other", "Outro", H1268="Medical", "Médico", H1268="Technical Degree", "Curso Técnico", H1268="Marketing", "Marketing", H1268="Human Resources", "Recursos Humanos")</f>
        <v>Ciências da Vida</v>
      </c>
      <c r="AL1268" t="str" cm="1">
        <f t="array" ref="AL12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69" spans="1:38" x14ac:dyDescent="0.25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IF(tbRh[[#This Row],[Gender]]="Female","Feminino","Masculino")</f>
        <v>Masculino</v>
      </c>
      <c r="AK1269" t="str" cm="1">
        <f t="array" ref="AK1269">_xlfn.IFS(H1269="Life Sciences", "Ciências da Vida", H1269="Other", "Outro", H1269="Medical", "Médico", H1269="Technical Degree", "Curso Técnico", H1269="Marketing", "Marketing", H1269="Human Resources", "Recursos Humanos")</f>
        <v>Ciências da Vida</v>
      </c>
      <c r="AL1269" t="str" cm="1">
        <f t="array" ref="AL126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70" spans="1:38" x14ac:dyDescent="0.25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IF(tbRh[[#This Row],[Gender]]="Female","Feminino","Masculino")</f>
        <v>Feminino</v>
      </c>
      <c r="AK1270" t="str" cm="1">
        <f t="array" ref="AK1270">_xlfn.IFS(H1270="Life Sciences", "Ciências da Vida", H1270="Other", "Outro", H1270="Medical", "Médico", H1270="Technical Degree", "Curso Técnico", H1270="Marketing", "Marketing", H1270="Human Resources", "Recursos Humanos")</f>
        <v>Médico</v>
      </c>
      <c r="AL1270" t="str" cm="1">
        <f t="array" ref="AL12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71" spans="1:38" x14ac:dyDescent="0.25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IF(tbRh[[#This Row],[Gender]]="Female","Feminino","Masculino")</f>
        <v>Masculino</v>
      </c>
      <c r="AK1271" t="str" cm="1">
        <f t="array" ref="AK1271">_xlfn.IFS(H1271="Life Sciences", "Ciências da Vida", H1271="Other", "Outro", H1271="Medical", "Médico", H1271="Technical Degree", "Curso Técnico", H1271="Marketing", "Marketing", H1271="Human Resources", "Recursos Humanos")</f>
        <v>Ciências da Vida</v>
      </c>
      <c r="AL1271" t="str" cm="1">
        <f t="array" ref="AL127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72" spans="1:38" x14ac:dyDescent="0.25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IF(tbRh[[#This Row],[Gender]]="Female","Feminino","Masculino")</f>
        <v>Feminino</v>
      </c>
      <c r="AK1272" t="str" cm="1">
        <f t="array" ref="AK1272">_xlfn.IFS(H1272="Life Sciences", "Ciências da Vida", H1272="Other", "Outro", H1272="Medical", "Médico", H1272="Technical Degree", "Curso Técnico", H1272="Marketing", "Marketing", H1272="Human Resources", "Recursos Humanos")</f>
        <v>Ciências da Vida</v>
      </c>
      <c r="AL1272" t="str" cm="1">
        <f t="array" ref="AL127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73" spans="1:38" x14ac:dyDescent="0.25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IF(tbRh[[#This Row],[Gender]]="Female","Feminino","Masculino")</f>
        <v>Masculino</v>
      </c>
      <c r="AK1273" t="str" cm="1">
        <f t="array" ref="AK1273">_xlfn.IFS(H1273="Life Sciences", "Ciências da Vida", H1273="Other", "Outro", H1273="Medical", "Médico", H1273="Technical Degree", "Curso Técnico", H1273="Marketing", "Marketing", H1273="Human Resources", "Recursos Humanos")</f>
        <v>Marketing</v>
      </c>
      <c r="AL1273" t="str" cm="1">
        <f t="array" ref="AL127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74" spans="1:38" x14ac:dyDescent="0.25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IF(tbRh[[#This Row],[Gender]]="Female","Feminino","Masculino")</f>
        <v>Feminino</v>
      </c>
      <c r="AK1274" t="str" cm="1">
        <f t="array" ref="AK1274">_xlfn.IFS(H1274="Life Sciences", "Ciências da Vida", H1274="Other", "Outro", H1274="Medical", "Médico", H1274="Technical Degree", "Curso Técnico", H1274="Marketing", "Marketing", H1274="Human Resources", "Recursos Humanos")</f>
        <v>Outro</v>
      </c>
      <c r="AL1274" t="str" cm="1">
        <f t="array" ref="AL12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75" spans="1:38" x14ac:dyDescent="0.25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IF(tbRh[[#This Row],[Gender]]="Female","Feminino","Masculino")</f>
        <v>Feminino</v>
      </c>
      <c r="AK1275" t="str" cm="1">
        <f t="array" ref="AK1275">_xlfn.IFS(H1275="Life Sciences", "Ciências da Vida", H1275="Other", "Outro", H1275="Medical", "Médico", H1275="Technical Degree", "Curso Técnico", H1275="Marketing", "Marketing", H1275="Human Resources", "Recursos Humanos")</f>
        <v>Médico</v>
      </c>
      <c r="AL1275" t="str" cm="1">
        <f t="array" ref="AL12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76" spans="1:38" x14ac:dyDescent="0.25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IF(tbRh[[#This Row],[Gender]]="Female","Feminino","Masculino")</f>
        <v>Feminino</v>
      </c>
      <c r="AK1276" t="str" cm="1">
        <f t="array" ref="AK1276">_xlfn.IFS(H1276="Life Sciences", "Ciências da Vida", H1276="Other", "Outro", H1276="Medical", "Médico", H1276="Technical Degree", "Curso Técnico", H1276="Marketing", "Marketing", H1276="Human Resources", "Recursos Humanos")</f>
        <v>Marketing</v>
      </c>
      <c r="AL1276" t="str" cm="1">
        <f t="array" ref="AL127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77" spans="1:38" x14ac:dyDescent="0.25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IF(tbRh[[#This Row],[Gender]]="Female","Feminino","Masculino")</f>
        <v>Feminino</v>
      </c>
      <c r="AK1277" t="str" cm="1">
        <f t="array" ref="AK1277">_xlfn.IFS(H1277="Life Sciences", "Ciências da Vida", H1277="Other", "Outro", H1277="Medical", "Médico", H1277="Technical Degree", "Curso Técnico", H1277="Marketing", "Marketing", H1277="Human Resources", "Recursos Humanos")</f>
        <v>Curso Técnico</v>
      </c>
      <c r="AL1277" t="str" cm="1">
        <f t="array" ref="AL12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78" spans="1:38" x14ac:dyDescent="0.25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IF(tbRh[[#This Row],[Gender]]="Female","Feminino","Masculino")</f>
        <v>Masculino</v>
      </c>
      <c r="AK1278" t="str" cm="1">
        <f t="array" ref="AK1278">_xlfn.IFS(H1278="Life Sciences", "Ciências da Vida", H1278="Other", "Outro", H1278="Medical", "Médico", H1278="Technical Degree", "Curso Técnico", H1278="Marketing", "Marketing", H1278="Human Resources", "Recursos Humanos")</f>
        <v>Marketing</v>
      </c>
      <c r="AL1278" t="str" cm="1">
        <f t="array" ref="AL127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79" spans="1:38" x14ac:dyDescent="0.25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IF(tbRh[[#This Row],[Gender]]="Female","Feminino","Masculino")</f>
        <v>Masculino</v>
      </c>
      <c r="AK1279" t="str" cm="1">
        <f t="array" ref="AK1279">_xlfn.IFS(H1279="Life Sciences", "Ciências da Vida", H1279="Other", "Outro", H1279="Medical", "Médico", H1279="Technical Degree", "Curso Técnico", H1279="Marketing", "Marketing", H1279="Human Resources", "Recursos Humanos")</f>
        <v>Médico</v>
      </c>
      <c r="AL1279" t="str" cm="1">
        <f t="array" ref="AL12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0" spans="1:38" x14ac:dyDescent="0.25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IF(tbRh[[#This Row],[Gender]]="Female","Feminino","Masculino")</f>
        <v>Masculino</v>
      </c>
      <c r="AK1280" t="str" cm="1">
        <f t="array" ref="AK1280">_xlfn.IFS(H1280="Life Sciences", "Ciências da Vida", H1280="Other", "Outro", H1280="Medical", "Médico", H1280="Technical Degree", "Curso Técnico", H1280="Marketing", "Marketing", H1280="Human Resources", "Recursos Humanos")</f>
        <v>Ciências da Vida</v>
      </c>
      <c r="AL1280" t="str" cm="1">
        <f t="array" ref="AL128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1" spans="1:38" x14ac:dyDescent="0.25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IF(tbRh[[#This Row],[Gender]]="Female","Feminino","Masculino")</f>
        <v>Masculino</v>
      </c>
      <c r="AK1281" t="str" cm="1">
        <f t="array" ref="AK1281">_xlfn.IFS(H1281="Life Sciences", "Ciências da Vida", H1281="Other", "Outro", H1281="Medical", "Médico", H1281="Technical Degree", "Curso Técnico", H1281="Marketing", "Marketing", H1281="Human Resources", "Recursos Humanos")</f>
        <v>Médico</v>
      </c>
      <c r="AL1281" t="str" cm="1">
        <f t="array" ref="AL128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2" spans="1:38" x14ac:dyDescent="0.25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IF(tbRh[[#This Row],[Gender]]="Female","Feminino","Masculino")</f>
        <v>Masculino</v>
      </c>
      <c r="AK1282" t="str" cm="1">
        <f t="array" ref="AK1282">_xlfn.IFS(H1282="Life Sciences", "Ciências da Vida", H1282="Other", "Outro", H1282="Medical", "Médico", H1282="Technical Degree", "Curso Técnico", H1282="Marketing", "Marketing", H1282="Human Resources", "Recursos Humanos")</f>
        <v>Outro</v>
      </c>
      <c r="AL1282" t="str" cm="1">
        <f t="array" ref="AL128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83" spans="1:38" x14ac:dyDescent="0.25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IF(tbRh[[#This Row],[Gender]]="Female","Feminino","Masculino")</f>
        <v>Masculino</v>
      </c>
      <c r="AK1283" t="str" cm="1">
        <f t="array" ref="AK1283">_xlfn.IFS(H1283="Life Sciences", "Ciências da Vida", H1283="Other", "Outro", H1283="Medical", "Médico", H1283="Technical Degree", "Curso Técnico", H1283="Marketing", "Marketing", H1283="Human Resources", "Recursos Humanos")</f>
        <v>Ciências da Vida</v>
      </c>
      <c r="AL1283" t="str" cm="1">
        <f t="array" ref="AL128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84" spans="1:38" x14ac:dyDescent="0.25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IF(tbRh[[#This Row],[Gender]]="Female","Feminino","Masculino")</f>
        <v>Masculino</v>
      </c>
      <c r="AK1284" t="str" cm="1">
        <f t="array" ref="AK1284">_xlfn.IFS(H1284="Life Sciences", "Ciências da Vida", H1284="Other", "Outro", H1284="Medical", "Médico", H1284="Technical Degree", "Curso Técnico", H1284="Marketing", "Marketing", H1284="Human Resources", "Recursos Humanos")</f>
        <v>Ciências da Vida</v>
      </c>
      <c r="AL1284" t="str" cm="1">
        <f t="array" ref="AL12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5" spans="1:38" x14ac:dyDescent="0.25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IF(tbRh[[#This Row],[Gender]]="Female","Feminino","Masculino")</f>
        <v>Masculino</v>
      </c>
      <c r="AK1285" t="str" cm="1">
        <f t="array" ref="AK1285">_xlfn.IFS(H1285="Life Sciences", "Ciências da Vida", H1285="Other", "Outro", H1285="Medical", "Médico", H1285="Technical Degree", "Curso Técnico", H1285="Marketing", "Marketing", H1285="Human Resources", "Recursos Humanos")</f>
        <v>Ciências da Vida</v>
      </c>
      <c r="AL1285" t="str" cm="1">
        <f t="array" ref="AL12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6" spans="1:38" x14ac:dyDescent="0.25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IF(tbRh[[#This Row],[Gender]]="Female","Feminino","Masculino")</f>
        <v>Masculino</v>
      </c>
      <c r="AK1286" t="str" cm="1">
        <f t="array" ref="AK1286">_xlfn.IFS(H1286="Life Sciences", "Ciências da Vida", H1286="Other", "Outro", H1286="Medical", "Médico", H1286="Technical Degree", "Curso Técnico", H1286="Marketing", "Marketing", H1286="Human Resources", "Recursos Humanos")</f>
        <v>Médico</v>
      </c>
      <c r="AL1286" t="str" cm="1">
        <f t="array" ref="AL128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7" spans="1:38" x14ac:dyDescent="0.25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IF(tbRh[[#This Row],[Gender]]="Female","Feminino","Masculino")</f>
        <v>Masculino</v>
      </c>
      <c r="AK1287" t="str" cm="1">
        <f t="array" ref="AK1287">_xlfn.IFS(H1287="Life Sciences", "Ciências da Vida", H1287="Other", "Outro", H1287="Medical", "Médico", H1287="Technical Degree", "Curso Técnico", H1287="Marketing", "Marketing", H1287="Human Resources", "Recursos Humanos")</f>
        <v>Ciências da Vida</v>
      </c>
      <c r="AL1287" t="str" cm="1">
        <f t="array" ref="AL128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88" spans="1:38" x14ac:dyDescent="0.25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IF(tbRh[[#This Row],[Gender]]="Female","Feminino","Masculino")</f>
        <v>Feminino</v>
      </c>
      <c r="AK1288" t="str" cm="1">
        <f t="array" ref="AK1288">_xlfn.IFS(H1288="Life Sciences", "Ciências da Vida", H1288="Other", "Outro", H1288="Medical", "Médico", H1288="Technical Degree", "Curso Técnico", H1288="Marketing", "Marketing", H1288="Human Resources", "Recursos Humanos")</f>
        <v>Ciências da Vida</v>
      </c>
      <c r="AL1288" t="str" cm="1">
        <f t="array" ref="AL12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89" spans="1:38" x14ac:dyDescent="0.25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IF(tbRh[[#This Row],[Gender]]="Female","Feminino","Masculino")</f>
        <v>Masculino</v>
      </c>
      <c r="AK1289" t="str" cm="1">
        <f t="array" ref="AK1289">_xlfn.IFS(H1289="Life Sciences", "Ciências da Vida", H1289="Other", "Outro", H1289="Medical", "Médico", H1289="Technical Degree", "Curso Técnico", H1289="Marketing", "Marketing", H1289="Human Resources", "Recursos Humanos")</f>
        <v>Médico</v>
      </c>
      <c r="AL1289" t="str" cm="1">
        <f t="array" ref="AL12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0" spans="1:38" x14ac:dyDescent="0.25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IF(tbRh[[#This Row],[Gender]]="Female","Feminino","Masculino")</f>
        <v>Masculino</v>
      </c>
      <c r="AK1290" t="str" cm="1">
        <f t="array" ref="AK1290">_xlfn.IFS(H1290="Life Sciences", "Ciências da Vida", H1290="Other", "Outro", H1290="Medical", "Médico", H1290="Technical Degree", "Curso Técnico", H1290="Marketing", "Marketing", H1290="Human Resources", "Recursos Humanos")</f>
        <v>Médico</v>
      </c>
      <c r="AL1290" t="str" cm="1">
        <f t="array" ref="AL12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1" spans="1:38" x14ac:dyDescent="0.25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IF(tbRh[[#This Row],[Gender]]="Female","Feminino","Masculino")</f>
        <v>Masculino</v>
      </c>
      <c r="AK1291" t="str" cm="1">
        <f t="array" ref="AK1291">_xlfn.IFS(H1291="Life Sciences", "Ciências da Vida", H1291="Other", "Outro", H1291="Medical", "Médico", H1291="Technical Degree", "Curso Técnico", H1291="Marketing", "Marketing", H1291="Human Resources", "Recursos Humanos")</f>
        <v>Recursos Humanos</v>
      </c>
      <c r="AL1291" t="str" cm="1">
        <f t="array" ref="AL129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292" spans="1:38" x14ac:dyDescent="0.25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IF(tbRh[[#This Row],[Gender]]="Female","Feminino","Masculino")</f>
        <v>Masculino</v>
      </c>
      <c r="AK1292" t="str" cm="1">
        <f t="array" ref="AK1292">_xlfn.IFS(H1292="Life Sciences", "Ciências da Vida", H1292="Other", "Outro", H1292="Medical", "Médico", H1292="Technical Degree", "Curso Técnico", H1292="Marketing", "Marketing", H1292="Human Resources", "Recursos Humanos")</f>
        <v>Ciências da Vida</v>
      </c>
      <c r="AL1292" t="str" cm="1">
        <f t="array" ref="AL12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3" spans="1:38" x14ac:dyDescent="0.25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IF(tbRh[[#This Row],[Gender]]="Female","Feminino","Masculino")</f>
        <v>Masculino</v>
      </c>
      <c r="AK1293" t="str" cm="1">
        <f t="array" ref="AK1293">_xlfn.IFS(H1293="Life Sciences", "Ciências da Vida", H1293="Other", "Outro", H1293="Medical", "Médico", H1293="Technical Degree", "Curso Técnico", H1293="Marketing", "Marketing", H1293="Human Resources", "Recursos Humanos")</f>
        <v>Médico</v>
      </c>
      <c r="AL1293" t="str" cm="1">
        <f t="array" ref="AL129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4" spans="1:38" x14ac:dyDescent="0.25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IF(tbRh[[#This Row],[Gender]]="Female","Feminino","Masculino")</f>
        <v>Masculino</v>
      </c>
      <c r="AK1294" t="str" cm="1">
        <f t="array" ref="AK1294">_xlfn.IFS(H1294="Life Sciences", "Ciências da Vida", H1294="Other", "Outro", H1294="Medical", "Médico", H1294="Technical Degree", "Curso Técnico", H1294="Marketing", "Marketing", H1294="Human Resources", "Recursos Humanos")</f>
        <v>Ciências da Vida</v>
      </c>
      <c r="AL1294" t="str" cm="1">
        <f t="array" ref="AL129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95" spans="1:38" x14ac:dyDescent="0.25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IF(tbRh[[#This Row],[Gender]]="Female","Feminino","Masculino")</f>
        <v>Masculino</v>
      </c>
      <c r="AK1295" t="str" cm="1">
        <f t="array" ref="AK1295">_xlfn.IFS(H1295="Life Sciences", "Ciências da Vida", H1295="Other", "Outro", H1295="Medical", "Médico", H1295="Technical Degree", "Curso Técnico", H1295="Marketing", "Marketing", H1295="Human Resources", "Recursos Humanos")</f>
        <v>Ciências da Vida</v>
      </c>
      <c r="AL1295" t="str" cm="1">
        <f t="array" ref="AL129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6" spans="1:38" x14ac:dyDescent="0.25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IF(tbRh[[#This Row],[Gender]]="Female","Feminino","Masculino")</f>
        <v>Masculino</v>
      </c>
      <c r="AK1296" t="str" cm="1">
        <f t="array" ref="AK1296">_xlfn.IFS(H1296="Life Sciences", "Ciências da Vida", H1296="Other", "Outro", H1296="Medical", "Médico", H1296="Technical Degree", "Curso Técnico", H1296="Marketing", "Marketing", H1296="Human Resources", "Recursos Humanos")</f>
        <v>Ciências da Vida</v>
      </c>
      <c r="AL1296" t="str" cm="1">
        <f t="array" ref="AL12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7" spans="1:38" x14ac:dyDescent="0.25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IF(tbRh[[#This Row],[Gender]]="Female","Feminino","Masculino")</f>
        <v>Feminino</v>
      </c>
      <c r="AK1297" t="str" cm="1">
        <f t="array" ref="AK1297">_xlfn.IFS(H1297="Life Sciences", "Ciências da Vida", H1297="Other", "Outro", H1297="Medical", "Médico", H1297="Technical Degree", "Curso Técnico", H1297="Marketing", "Marketing", H1297="Human Resources", "Recursos Humanos")</f>
        <v>Marketing</v>
      </c>
      <c r="AL1297" t="str" cm="1">
        <f t="array" ref="AL129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298" spans="1:38" x14ac:dyDescent="0.25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IF(tbRh[[#This Row],[Gender]]="Female","Feminino","Masculino")</f>
        <v>Feminino</v>
      </c>
      <c r="AK1298" t="str" cm="1">
        <f t="array" ref="AK1298">_xlfn.IFS(H1298="Life Sciences", "Ciências da Vida", H1298="Other", "Outro", H1298="Medical", "Médico", H1298="Technical Degree", "Curso Técnico", H1298="Marketing", "Marketing", H1298="Human Resources", "Recursos Humanos")</f>
        <v>Médico</v>
      </c>
      <c r="AL1298" t="str" cm="1">
        <f t="array" ref="AL129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299" spans="1:38" x14ac:dyDescent="0.25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IF(tbRh[[#This Row],[Gender]]="Female","Feminino","Masculino")</f>
        <v>Feminino</v>
      </c>
      <c r="AK1299" t="str" cm="1">
        <f t="array" ref="AK1299">_xlfn.IFS(H1299="Life Sciences", "Ciências da Vida", H1299="Other", "Outro", H1299="Medical", "Médico", H1299="Technical Degree", "Curso Técnico", H1299="Marketing", "Marketing", H1299="Human Resources", "Recursos Humanos")</f>
        <v>Médico</v>
      </c>
      <c r="AL1299" t="str" cm="1">
        <f t="array" ref="AL1299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00" spans="1:38" x14ac:dyDescent="0.25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IF(tbRh[[#This Row],[Gender]]="Female","Feminino","Masculino")</f>
        <v>Feminino</v>
      </c>
      <c r="AK1300" t="str" cm="1">
        <f t="array" ref="AK1300">_xlfn.IFS(H1300="Life Sciences", "Ciências da Vida", H1300="Other", "Outro", H1300="Medical", "Médico", H1300="Technical Degree", "Curso Técnico", H1300="Marketing", "Marketing", H1300="Human Resources", "Recursos Humanos")</f>
        <v>Médico</v>
      </c>
      <c r="AL1300" t="str" cm="1">
        <f t="array" ref="AL13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01" spans="1:38" x14ac:dyDescent="0.25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IF(tbRh[[#This Row],[Gender]]="Female","Feminino","Masculino")</f>
        <v>Feminino</v>
      </c>
      <c r="AK1301" t="str" cm="1">
        <f t="array" ref="AK1301">_xlfn.IFS(H1301="Life Sciences", "Ciências da Vida", H1301="Other", "Outro", H1301="Medical", "Médico", H1301="Technical Degree", "Curso Técnico", H1301="Marketing", "Marketing", H1301="Human Resources", "Recursos Humanos")</f>
        <v>Ciências da Vida</v>
      </c>
      <c r="AL1301" t="str" cm="1">
        <f t="array" ref="AL13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02" spans="1:38" x14ac:dyDescent="0.25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IF(tbRh[[#This Row],[Gender]]="Female","Feminino","Masculino")</f>
        <v>Masculino</v>
      </c>
      <c r="AK1302" t="str" cm="1">
        <f t="array" ref="AK1302">_xlfn.IFS(H1302="Life Sciences", "Ciências da Vida", H1302="Other", "Outro", H1302="Medical", "Médico", H1302="Technical Degree", "Curso Técnico", H1302="Marketing", "Marketing", H1302="Human Resources", "Recursos Humanos")</f>
        <v>Curso Técnico</v>
      </c>
      <c r="AL1302" t="str" cm="1">
        <f t="array" ref="AL130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03" spans="1:38" x14ac:dyDescent="0.25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IF(tbRh[[#This Row],[Gender]]="Female","Feminino","Masculino")</f>
        <v>Masculino</v>
      </c>
      <c r="AK1303" t="str" cm="1">
        <f t="array" ref="AK1303">_xlfn.IFS(H1303="Life Sciences", "Ciências da Vida", H1303="Other", "Outro", H1303="Medical", "Médico", H1303="Technical Degree", "Curso Técnico", H1303="Marketing", "Marketing", H1303="Human Resources", "Recursos Humanos")</f>
        <v>Médico</v>
      </c>
      <c r="AL1303" t="str" cm="1">
        <f t="array" ref="AL130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04" spans="1:38" x14ac:dyDescent="0.25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IF(tbRh[[#This Row],[Gender]]="Female","Feminino","Masculino")</f>
        <v>Masculino</v>
      </c>
      <c r="AK1304" t="str" cm="1">
        <f t="array" ref="AK1304">_xlfn.IFS(H1304="Life Sciences", "Ciências da Vida", H1304="Other", "Outro", H1304="Medical", "Médico", H1304="Technical Degree", "Curso Técnico", H1304="Marketing", "Marketing", H1304="Human Resources", "Recursos Humanos")</f>
        <v>Médico</v>
      </c>
      <c r="AL1304" t="str" cm="1">
        <f t="array" ref="AL13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05" spans="1:38" x14ac:dyDescent="0.25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IF(tbRh[[#This Row],[Gender]]="Female","Feminino","Masculino")</f>
        <v>Feminino</v>
      </c>
      <c r="AK1305" t="str" cm="1">
        <f t="array" ref="AK1305">_xlfn.IFS(H1305="Life Sciences", "Ciências da Vida", H1305="Other", "Outro", H1305="Medical", "Médico", H1305="Technical Degree", "Curso Técnico", H1305="Marketing", "Marketing", H1305="Human Resources", "Recursos Humanos")</f>
        <v>Ciências da Vida</v>
      </c>
      <c r="AL1305" t="str" cm="1">
        <f t="array" ref="AL130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06" spans="1:38" x14ac:dyDescent="0.25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IF(tbRh[[#This Row],[Gender]]="Female","Feminino","Masculino")</f>
        <v>Feminino</v>
      </c>
      <c r="AK1306" t="str" cm="1">
        <f t="array" ref="AK1306">_xlfn.IFS(H1306="Life Sciences", "Ciências da Vida", H1306="Other", "Outro", H1306="Medical", "Médico", H1306="Technical Degree", "Curso Técnico", H1306="Marketing", "Marketing", H1306="Human Resources", "Recursos Humanos")</f>
        <v>Ciências da Vida</v>
      </c>
      <c r="AL1306" t="str" cm="1">
        <f t="array" ref="AL13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07" spans="1:38" x14ac:dyDescent="0.25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IF(tbRh[[#This Row],[Gender]]="Female","Feminino","Masculino")</f>
        <v>Feminino</v>
      </c>
      <c r="AK1307" t="str" cm="1">
        <f t="array" ref="AK1307">_xlfn.IFS(H1307="Life Sciences", "Ciências da Vida", H1307="Other", "Outro", H1307="Medical", "Médico", H1307="Technical Degree", "Curso Técnico", H1307="Marketing", "Marketing", H1307="Human Resources", "Recursos Humanos")</f>
        <v>Médico</v>
      </c>
      <c r="AL1307" t="str" cm="1">
        <f t="array" ref="AL13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08" spans="1:38" x14ac:dyDescent="0.25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IF(tbRh[[#This Row],[Gender]]="Female","Feminino","Masculino")</f>
        <v>Feminino</v>
      </c>
      <c r="AK1308" t="str" cm="1">
        <f t="array" ref="AK1308">_xlfn.IFS(H1308="Life Sciences", "Ciências da Vida", H1308="Other", "Outro", H1308="Medical", "Médico", H1308="Technical Degree", "Curso Técnico", H1308="Marketing", "Marketing", H1308="Human Resources", "Recursos Humanos")</f>
        <v>Marketing</v>
      </c>
      <c r="AL1308" t="str" cm="1">
        <f t="array" ref="AL130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09" spans="1:38" x14ac:dyDescent="0.25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IF(tbRh[[#This Row],[Gender]]="Female","Feminino","Masculino")</f>
        <v>Feminino</v>
      </c>
      <c r="AK1309" t="str" cm="1">
        <f t="array" ref="AK1309">_xlfn.IFS(H1309="Life Sciences", "Ciências da Vida", H1309="Other", "Outro", H1309="Medical", "Médico", H1309="Technical Degree", "Curso Técnico", H1309="Marketing", "Marketing", H1309="Human Resources", "Recursos Humanos")</f>
        <v>Médico</v>
      </c>
      <c r="AL1309" t="str" cm="1">
        <f t="array" ref="AL13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10" spans="1:38" x14ac:dyDescent="0.25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IF(tbRh[[#This Row],[Gender]]="Female","Feminino","Masculino")</f>
        <v>Feminino</v>
      </c>
      <c r="AK1310" t="str" cm="1">
        <f t="array" ref="AK1310">_xlfn.IFS(H1310="Life Sciences", "Ciências da Vida", H1310="Other", "Outro", H1310="Medical", "Médico", H1310="Technical Degree", "Curso Técnico", H1310="Marketing", "Marketing", H1310="Human Resources", "Recursos Humanos")</f>
        <v>Marketing</v>
      </c>
      <c r="AL1310" t="str" cm="1">
        <f t="array" ref="AL131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11" spans="1:38" x14ac:dyDescent="0.25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IF(tbRh[[#This Row],[Gender]]="Female","Feminino","Masculino")</f>
        <v>Masculino</v>
      </c>
      <c r="AK1311" t="str" cm="1">
        <f t="array" ref="AK1311">_xlfn.IFS(H1311="Life Sciences", "Ciências da Vida", H1311="Other", "Outro", H1311="Medical", "Médico", H1311="Technical Degree", "Curso Técnico", H1311="Marketing", "Marketing", H1311="Human Resources", "Recursos Humanos")</f>
        <v>Médico</v>
      </c>
      <c r="AL1311" t="str" cm="1">
        <f t="array" ref="AL131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12" spans="1:38" x14ac:dyDescent="0.25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IF(tbRh[[#This Row],[Gender]]="Female","Feminino","Masculino")</f>
        <v>Masculino</v>
      </c>
      <c r="AK1312" t="str" cm="1">
        <f t="array" ref="AK1312">_xlfn.IFS(H1312="Life Sciences", "Ciências da Vida", H1312="Other", "Outro", H1312="Medical", "Médico", H1312="Technical Degree", "Curso Técnico", H1312="Marketing", "Marketing", H1312="Human Resources", "Recursos Humanos")</f>
        <v>Ciências da Vida</v>
      </c>
      <c r="AL1312" t="str" cm="1">
        <f t="array" ref="AL131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13" spans="1:38" x14ac:dyDescent="0.25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IF(tbRh[[#This Row],[Gender]]="Female","Feminino","Masculino")</f>
        <v>Feminino</v>
      </c>
      <c r="AK1313" t="str" cm="1">
        <f t="array" ref="AK1313">_xlfn.IFS(H1313="Life Sciences", "Ciências da Vida", H1313="Other", "Outro", H1313="Medical", "Médico", H1313="Technical Degree", "Curso Técnico", H1313="Marketing", "Marketing", H1313="Human Resources", "Recursos Humanos")</f>
        <v>Médico</v>
      </c>
      <c r="AL1313" t="str" cm="1">
        <f t="array" ref="AL131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14" spans="1:38" x14ac:dyDescent="0.25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IF(tbRh[[#This Row],[Gender]]="Female","Feminino","Masculino")</f>
        <v>Masculino</v>
      </c>
      <c r="AK1314" t="str" cm="1">
        <f t="array" ref="AK1314">_xlfn.IFS(H1314="Life Sciences", "Ciências da Vida", H1314="Other", "Outro", H1314="Medical", "Médico", H1314="Technical Degree", "Curso Técnico", H1314="Marketing", "Marketing", H1314="Human Resources", "Recursos Humanos")</f>
        <v>Recursos Humanos</v>
      </c>
      <c r="AL1314" t="str" cm="1">
        <f t="array" ref="AL1314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15" spans="1:38" x14ac:dyDescent="0.25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IF(tbRh[[#This Row],[Gender]]="Female","Feminino","Masculino")</f>
        <v>Masculino</v>
      </c>
      <c r="AK1315" t="str" cm="1">
        <f t="array" ref="AK1315">_xlfn.IFS(H1315="Life Sciences", "Ciências da Vida", H1315="Other", "Outro", H1315="Medical", "Médico", H1315="Technical Degree", "Curso Técnico", H1315="Marketing", "Marketing", H1315="Human Resources", "Recursos Humanos")</f>
        <v>Recursos Humanos</v>
      </c>
      <c r="AL1315" t="str" cm="1">
        <f t="array" ref="AL131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16" spans="1:38" x14ac:dyDescent="0.25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IF(tbRh[[#This Row],[Gender]]="Female","Feminino","Masculino")</f>
        <v>Feminino</v>
      </c>
      <c r="AK1316" t="str" cm="1">
        <f t="array" ref="AK1316">_xlfn.IFS(H1316="Life Sciences", "Ciências da Vida", H1316="Other", "Outro", H1316="Medical", "Médico", H1316="Technical Degree", "Curso Técnico", H1316="Marketing", "Marketing", H1316="Human Resources", "Recursos Humanos")</f>
        <v>Ciências da Vida</v>
      </c>
      <c r="AL1316" t="str" cm="1">
        <f t="array" ref="AL131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17" spans="1:38" x14ac:dyDescent="0.25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IF(tbRh[[#This Row],[Gender]]="Female","Feminino","Masculino")</f>
        <v>Feminino</v>
      </c>
      <c r="AK1317" t="str" cm="1">
        <f t="array" ref="AK1317">_xlfn.IFS(H1317="Life Sciences", "Ciências da Vida", H1317="Other", "Outro", H1317="Medical", "Médico", H1317="Technical Degree", "Curso Técnico", H1317="Marketing", "Marketing", H1317="Human Resources", "Recursos Humanos")</f>
        <v>Outro</v>
      </c>
      <c r="AL1317" t="str" cm="1">
        <f t="array" ref="AL13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18" spans="1:38" x14ac:dyDescent="0.25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IF(tbRh[[#This Row],[Gender]]="Female","Feminino","Masculino")</f>
        <v>Masculino</v>
      </c>
      <c r="AK1318" t="str" cm="1">
        <f t="array" ref="AK1318">_xlfn.IFS(H1318="Life Sciences", "Ciências da Vida", H1318="Other", "Outro", H1318="Medical", "Médico", H1318="Technical Degree", "Curso Técnico", H1318="Marketing", "Marketing", H1318="Human Resources", "Recursos Humanos")</f>
        <v>Ciências da Vida</v>
      </c>
      <c r="AL1318" t="str" cm="1">
        <f t="array" ref="AL13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19" spans="1:38" x14ac:dyDescent="0.25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IF(tbRh[[#This Row],[Gender]]="Female","Feminino","Masculino")</f>
        <v>Feminino</v>
      </c>
      <c r="AK1319" t="str" cm="1">
        <f t="array" ref="AK1319">_xlfn.IFS(H1319="Life Sciences", "Ciências da Vida", H1319="Other", "Outro", H1319="Medical", "Médico", H1319="Technical Degree", "Curso Técnico", H1319="Marketing", "Marketing", H1319="Human Resources", "Recursos Humanos")</f>
        <v>Ciências da Vida</v>
      </c>
      <c r="AL1319" t="str" cm="1">
        <f t="array" ref="AL131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0" spans="1:38" x14ac:dyDescent="0.25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IF(tbRh[[#This Row],[Gender]]="Female","Feminino","Masculino")</f>
        <v>Masculino</v>
      </c>
      <c r="AK1320" t="str" cm="1">
        <f t="array" ref="AK1320">_xlfn.IFS(H1320="Life Sciences", "Ciências da Vida", H1320="Other", "Outro", H1320="Medical", "Médico", H1320="Technical Degree", "Curso Técnico", H1320="Marketing", "Marketing", H1320="Human Resources", "Recursos Humanos")</f>
        <v>Médico</v>
      </c>
      <c r="AL1320" t="str" cm="1">
        <f t="array" ref="AL13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1" spans="1:38" x14ac:dyDescent="0.25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IF(tbRh[[#This Row],[Gender]]="Female","Feminino","Masculino")</f>
        <v>Masculino</v>
      </c>
      <c r="AK1321" t="str" cm="1">
        <f t="array" ref="AK1321">_xlfn.IFS(H1321="Life Sciences", "Ciências da Vida", H1321="Other", "Outro", H1321="Medical", "Médico", H1321="Technical Degree", "Curso Técnico", H1321="Marketing", "Marketing", H1321="Human Resources", "Recursos Humanos")</f>
        <v>Marketing</v>
      </c>
      <c r="AL1321" t="str" cm="1">
        <f t="array" ref="AL132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22" spans="1:38" x14ac:dyDescent="0.25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IF(tbRh[[#This Row],[Gender]]="Female","Feminino","Masculino")</f>
        <v>Masculino</v>
      </c>
      <c r="AK1322" t="str" cm="1">
        <f t="array" ref="AK1322">_xlfn.IFS(H1322="Life Sciences", "Ciências da Vida", H1322="Other", "Outro", H1322="Medical", "Médico", H1322="Technical Degree", "Curso Técnico", H1322="Marketing", "Marketing", H1322="Human Resources", "Recursos Humanos")</f>
        <v>Curso Técnico</v>
      </c>
      <c r="AL1322" t="str" cm="1">
        <f t="array" ref="AL13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3" spans="1:38" x14ac:dyDescent="0.25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IF(tbRh[[#This Row],[Gender]]="Female","Feminino","Masculino")</f>
        <v>Feminino</v>
      </c>
      <c r="AK1323" t="str" cm="1">
        <f t="array" ref="AK1323">_xlfn.IFS(H1323="Life Sciences", "Ciências da Vida", H1323="Other", "Outro", H1323="Medical", "Médico", H1323="Technical Degree", "Curso Técnico", H1323="Marketing", "Marketing", H1323="Human Resources", "Recursos Humanos")</f>
        <v>Ciências da Vida</v>
      </c>
      <c r="AL1323" t="str" cm="1">
        <f t="array" ref="AL13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4" spans="1:38" x14ac:dyDescent="0.25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IF(tbRh[[#This Row],[Gender]]="Female","Feminino","Masculino")</f>
        <v>Masculino</v>
      </c>
      <c r="AK1324" t="str" cm="1">
        <f t="array" ref="AK1324">_xlfn.IFS(H1324="Life Sciences", "Ciências da Vida", H1324="Other", "Outro", H1324="Medical", "Médico", H1324="Technical Degree", "Curso Técnico", H1324="Marketing", "Marketing", H1324="Human Resources", "Recursos Humanos")</f>
        <v>Ciências da Vida</v>
      </c>
      <c r="AL1324" t="str" cm="1">
        <f t="array" ref="AL13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5" spans="1:38" x14ac:dyDescent="0.25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IF(tbRh[[#This Row],[Gender]]="Female","Feminino","Masculino")</f>
        <v>Masculino</v>
      </c>
      <c r="AK1325" t="str" cm="1">
        <f t="array" ref="AK1325">_xlfn.IFS(H1325="Life Sciences", "Ciências da Vida", H1325="Other", "Outro", H1325="Medical", "Médico", H1325="Technical Degree", "Curso Técnico", H1325="Marketing", "Marketing", H1325="Human Resources", "Recursos Humanos")</f>
        <v>Ciências da Vida</v>
      </c>
      <c r="AL1325" t="str" cm="1">
        <f t="array" ref="AL1325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26" spans="1:38" x14ac:dyDescent="0.25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IF(tbRh[[#This Row],[Gender]]="Female","Feminino","Masculino")</f>
        <v>Masculino</v>
      </c>
      <c r="AK1326" t="str" cm="1">
        <f t="array" ref="AK1326">_xlfn.IFS(H1326="Life Sciences", "Ciências da Vida", H1326="Other", "Outro", H1326="Medical", "Médico", H1326="Technical Degree", "Curso Técnico", H1326="Marketing", "Marketing", H1326="Human Resources", "Recursos Humanos")</f>
        <v>Ciências da Vida</v>
      </c>
      <c r="AL1326" t="str" cm="1">
        <f t="array" ref="AL13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7" spans="1:38" x14ac:dyDescent="0.25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IF(tbRh[[#This Row],[Gender]]="Female","Feminino","Masculino")</f>
        <v>Masculino</v>
      </c>
      <c r="AK1327" t="str" cm="1">
        <f t="array" ref="AK1327">_xlfn.IFS(H1327="Life Sciences", "Ciências da Vida", H1327="Other", "Outro", H1327="Medical", "Médico", H1327="Technical Degree", "Curso Técnico", H1327="Marketing", "Marketing", H1327="Human Resources", "Recursos Humanos")</f>
        <v>Ciências da Vida</v>
      </c>
      <c r="AL1327" t="str" cm="1">
        <f t="array" ref="AL13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28" spans="1:38" x14ac:dyDescent="0.25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IF(tbRh[[#This Row],[Gender]]="Female","Feminino","Masculino")</f>
        <v>Masculino</v>
      </c>
      <c r="AK1328" t="str" cm="1">
        <f t="array" ref="AK1328">_xlfn.IFS(H1328="Life Sciences", "Ciências da Vida", H1328="Other", "Outro", H1328="Medical", "Médico", H1328="Technical Degree", "Curso Técnico", H1328="Marketing", "Marketing", H1328="Human Resources", "Recursos Humanos")</f>
        <v>Marketing</v>
      </c>
      <c r="AL1328" t="str" cm="1">
        <f t="array" ref="AL132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29" spans="1:38" x14ac:dyDescent="0.25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IF(tbRh[[#This Row],[Gender]]="Female","Feminino","Masculino")</f>
        <v>Feminino</v>
      </c>
      <c r="AK1329" t="str" cm="1">
        <f t="array" ref="AK1329">_xlfn.IFS(H1329="Life Sciences", "Ciências da Vida", H1329="Other", "Outro", H1329="Medical", "Médico", H1329="Technical Degree", "Curso Técnico", H1329="Marketing", "Marketing", H1329="Human Resources", "Recursos Humanos")</f>
        <v>Curso Técnico</v>
      </c>
      <c r="AL1329" t="str" cm="1">
        <f t="array" ref="AL132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30" spans="1:38" x14ac:dyDescent="0.25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IF(tbRh[[#This Row],[Gender]]="Female","Feminino","Masculino")</f>
        <v>Feminino</v>
      </c>
      <c r="AK1330" t="str" cm="1">
        <f t="array" ref="AK1330">_xlfn.IFS(H1330="Life Sciences", "Ciências da Vida", H1330="Other", "Outro", H1330="Medical", "Médico", H1330="Technical Degree", "Curso Técnico", H1330="Marketing", "Marketing", H1330="Human Resources", "Recursos Humanos")</f>
        <v>Médico</v>
      </c>
      <c r="AL1330" t="str" cm="1">
        <f t="array" ref="AL133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31" spans="1:38" x14ac:dyDescent="0.25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IF(tbRh[[#This Row],[Gender]]="Female","Feminino","Masculino")</f>
        <v>Masculino</v>
      </c>
      <c r="AK1331" t="str" cm="1">
        <f t="array" ref="AK1331">_xlfn.IFS(H1331="Life Sciences", "Ciências da Vida", H1331="Other", "Outro", H1331="Medical", "Médico", H1331="Technical Degree", "Curso Técnico", H1331="Marketing", "Marketing", H1331="Human Resources", "Recursos Humanos")</f>
        <v>Médico</v>
      </c>
      <c r="AL1331" t="str" cm="1">
        <f t="array" ref="AL133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32" spans="1:38" x14ac:dyDescent="0.25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IF(tbRh[[#This Row],[Gender]]="Female","Feminino","Masculino")</f>
        <v>Feminino</v>
      </c>
      <c r="AK1332" t="str" cm="1">
        <f t="array" ref="AK1332">_xlfn.IFS(H1332="Life Sciences", "Ciências da Vida", H1332="Other", "Outro", H1332="Medical", "Médico", H1332="Technical Degree", "Curso Técnico", H1332="Marketing", "Marketing", H1332="Human Resources", "Recursos Humanos")</f>
        <v>Médico</v>
      </c>
      <c r="AL1332" t="str" cm="1">
        <f t="array" ref="AL13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3" spans="1:38" x14ac:dyDescent="0.25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IF(tbRh[[#This Row],[Gender]]="Female","Feminino","Masculino")</f>
        <v>Masculino</v>
      </c>
      <c r="AK1333" t="str" cm="1">
        <f t="array" ref="AK1333">_xlfn.IFS(H1333="Life Sciences", "Ciências da Vida", H1333="Other", "Outro", H1333="Medical", "Médico", H1333="Technical Degree", "Curso Técnico", H1333="Marketing", "Marketing", H1333="Human Resources", "Recursos Humanos")</f>
        <v>Ciências da Vida</v>
      </c>
      <c r="AL1333" t="str" cm="1">
        <f t="array" ref="AL133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4" spans="1:38" x14ac:dyDescent="0.25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IF(tbRh[[#This Row],[Gender]]="Female","Feminino","Masculino")</f>
        <v>Masculino</v>
      </c>
      <c r="AK1334" t="str" cm="1">
        <f t="array" ref="AK1334">_xlfn.IFS(H1334="Life Sciences", "Ciências da Vida", H1334="Other", "Outro", H1334="Medical", "Médico", H1334="Technical Degree", "Curso Técnico", H1334="Marketing", "Marketing", H1334="Human Resources", "Recursos Humanos")</f>
        <v>Ciências da Vida</v>
      </c>
      <c r="AL1334" t="str" cm="1">
        <f t="array" ref="AL13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5" spans="1:38" x14ac:dyDescent="0.25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IF(tbRh[[#This Row],[Gender]]="Female","Feminino","Masculino")</f>
        <v>Feminino</v>
      </c>
      <c r="AK1335" t="str" cm="1">
        <f t="array" ref="AK1335">_xlfn.IFS(H1335="Life Sciences", "Ciências da Vida", H1335="Other", "Outro", H1335="Medical", "Médico", H1335="Technical Degree", "Curso Técnico", H1335="Marketing", "Marketing", H1335="Human Resources", "Recursos Humanos")</f>
        <v>Ciências da Vida</v>
      </c>
      <c r="AL1335" t="str" cm="1">
        <f t="array" ref="AL13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36" spans="1:38" x14ac:dyDescent="0.25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IF(tbRh[[#This Row],[Gender]]="Female","Feminino","Masculino")</f>
        <v>Feminino</v>
      </c>
      <c r="AK1336" t="str" cm="1">
        <f t="array" ref="AK1336">_xlfn.IFS(H1336="Life Sciences", "Ciências da Vida", H1336="Other", "Outro", H1336="Medical", "Médico", H1336="Technical Degree", "Curso Técnico", H1336="Marketing", "Marketing", H1336="Human Resources", "Recursos Humanos")</f>
        <v>Ciências da Vida</v>
      </c>
      <c r="AL1336" t="str" cm="1">
        <f t="array" ref="AL133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7" spans="1:38" x14ac:dyDescent="0.25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IF(tbRh[[#This Row],[Gender]]="Female","Feminino","Masculino")</f>
        <v>Masculino</v>
      </c>
      <c r="AK1337" t="str" cm="1">
        <f t="array" ref="AK1337">_xlfn.IFS(H1337="Life Sciences", "Ciências da Vida", H1337="Other", "Outro", H1337="Medical", "Médico", H1337="Technical Degree", "Curso Técnico", H1337="Marketing", "Marketing", H1337="Human Resources", "Recursos Humanos")</f>
        <v>Outro</v>
      </c>
      <c r="AL1337" t="str" cm="1">
        <f t="array" ref="AL13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8" spans="1:38" x14ac:dyDescent="0.25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IF(tbRh[[#This Row],[Gender]]="Female","Feminino","Masculino")</f>
        <v>Masculino</v>
      </c>
      <c r="AK1338" t="str" cm="1">
        <f t="array" ref="AK1338">_xlfn.IFS(H1338="Life Sciences", "Ciências da Vida", H1338="Other", "Outro", H1338="Medical", "Médico", H1338="Technical Degree", "Curso Técnico", H1338="Marketing", "Marketing", H1338="Human Resources", "Recursos Humanos")</f>
        <v>Curso Técnico</v>
      </c>
      <c r="AL1338" t="str" cm="1">
        <f t="array" ref="AL133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39" spans="1:38" x14ac:dyDescent="0.25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IF(tbRh[[#This Row],[Gender]]="Female","Feminino","Masculino")</f>
        <v>Feminino</v>
      </c>
      <c r="AK1339" t="str" cm="1">
        <f t="array" ref="AK1339">_xlfn.IFS(H1339="Life Sciences", "Ciências da Vida", H1339="Other", "Outro", H1339="Medical", "Médico", H1339="Technical Degree", "Curso Técnico", H1339="Marketing", "Marketing", H1339="Human Resources", "Recursos Humanos")</f>
        <v>Médico</v>
      </c>
      <c r="AL1339" t="str" cm="1">
        <f t="array" ref="AL133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40" spans="1:38" x14ac:dyDescent="0.25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IF(tbRh[[#This Row],[Gender]]="Female","Feminino","Masculino")</f>
        <v>Masculino</v>
      </c>
      <c r="AK1340" t="str" cm="1">
        <f t="array" ref="AK1340">_xlfn.IFS(H1340="Life Sciences", "Ciências da Vida", H1340="Other", "Outro", H1340="Medical", "Médico", H1340="Technical Degree", "Curso Técnico", H1340="Marketing", "Marketing", H1340="Human Resources", "Recursos Humanos")</f>
        <v>Médico</v>
      </c>
      <c r="AL1340" t="str" cm="1">
        <f t="array" ref="AL13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41" spans="1:38" x14ac:dyDescent="0.25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IF(tbRh[[#This Row],[Gender]]="Female","Feminino","Masculino")</f>
        <v>Masculino</v>
      </c>
      <c r="AK1341" t="str" cm="1">
        <f t="array" ref="AK1341">_xlfn.IFS(H1341="Life Sciences", "Ciências da Vida", H1341="Other", "Outro", H1341="Medical", "Médico", H1341="Technical Degree", "Curso Técnico", H1341="Marketing", "Marketing", H1341="Human Resources", "Recursos Humanos")</f>
        <v>Ciências da Vida</v>
      </c>
      <c r="AL1341" t="str" cm="1">
        <f t="array" ref="AL134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42" spans="1:38" x14ac:dyDescent="0.25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IF(tbRh[[#This Row],[Gender]]="Female","Feminino","Masculino")</f>
        <v>Feminino</v>
      </c>
      <c r="AK1342" t="str" cm="1">
        <f t="array" ref="AK1342">_xlfn.IFS(H1342="Life Sciences", "Ciências da Vida", H1342="Other", "Outro", H1342="Medical", "Médico", H1342="Technical Degree", "Curso Técnico", H1342="Marketing", "Marketing", H1342="Human Resources", "Recursos Humanos")</f>
        <v>Curso Técnico</v>
      </c>
      <c r="AL1342" t="str" cm="1">
        <f t="array" ref="AL134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43" spans="1:38" x14ac:dyDescent="0.25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IF(tbRh[[#This Row],[Gender]]="Female","Feminino","Masculino")</f>
        <v>Masculino</v>
      </c>
      <c r="AK1343" t="str" cm="1">
        <f t="array" ref="AK1343">_xlfn.IFS(H1343="Life Sciences", "Ciências da Vida", H1343="Other", "Outro", H1343="Medical", "Médico", H1343="Technical Degree", "Curso Técnico", H1343="Marketing", "Marketing", H1343="Human Resources", "Recursos Humanos")</f>
        <v>Ciências da Vida</v>
      </c>
      <c r="AL1343" t="str" cm="1">
        <f t="array" ref="AL13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44" spans="1:38" x14ac:dyDescent="0.25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IF(tbRh[[#This Row],[Gender]]="Female","Feminino","Masculino")</f>
        <v>Masculino</v>
      </c>
      <c r="AK1344" t="str" cm="1">
        <f t="array" ref="AK1344">_xlfn.IFS(H1344="Life Sciences", "Ciências da Vida", H1344="Other", "Outro", H1344="Medical", "Médico", H1344="Technical Degree", "Curso Técnico", H1344="Marketing", "Marketing", H1344="Human Resources", "Recursos Humanos")</f>
        <v>Ciências da Vida</v>
      </c>
      <c r="AL1344" t="str" cm="1">
        <f t="array" ref="AL134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45" spans="1:38" x14ac:dyDescent="0.25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IF(tbRh[[#This Row],[Gender]]="Female","Feminino","Masculino")</f>
        <v>Masculino</v>
      </c>
      <c r="AK1345" t="str" cm="1">
        <f t="array" ref="AK1345">_xlfn.IFS(H1345="Life Sciences", "Ciências da Vida", H1345="Other", "Outro", H1345="Medical", "Médico", H1345="Technical Degree", "Curso Técnico", H1345="Marketing", "Marketing", H1345="Human Resources", "Recursos Humanos")</f>
        <v>Ciências da Vida</v>
      </c>
      <c r="AL1345" t="str" cm="1">
        <f t="array" ref="AL13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46" spans="1:38" x14ac:dyDescent="0.25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IF(tbRh[[#This Row],[Gender]]="Female","Feminino","Masculino")</f>
        <v>Masculino</v>
      </c>
      <c r="AK1346" t="str" cm="1">
        <f t="array" ref="AK1346">_xlfn.IFS(H1346="Life Sciences", "Ciências da Vida", H1346="Other", "Outro", H1346="Medical", "Médico", H1346="Technical Degree", "Curso Técnico", H1346="Marketing", "Marketing", H1346="Human Resources", "Recursos Humanos")</f>
        <v>Médico</v>
      </c>
      <c r="AL1346" t="str" cm="1">
        <f t="array" ref="AL13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47" spans="1:38" x14ac:dyDescent="0.25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IF(tbRh[[#This Row],[Gender]]="Female","Feminino","Masculino")</f>
        <v>Feminino</v>
      </c>
      <c r="AK1347" t="str" cm="1">
        <f t="array" ref="AK1347">_xlfn.IFS(H1347="Life Sciences", "Ciências da Vida", H1347="Other", "Outro", H1347="Medical", "Médico", H1347="Technical Degree", "Curso Técnico", H1347="Marketing", "Marketing", H1347="Human Resources", "Recursos Humanos")</f>
        <v>Outro</v>
      </c>
      <c r="AL1347" t="str" cm="1">
        <f t="array" ref="AL13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48" spans="1:38" x14ac:dyDescent="0.25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IF(tbRh[[#This Row],[Gender]]="Female","Feminino","Masculino")</f>
        <v>Feminino</v>
      </c>
      <c r="AK1348" t="str" cm="1">
        <f t="array" ref="AK1348">_xlfn.IFS(H1348="Life Sciences", "Ciências da Vida", H1348="Other", "Outro", H1348="Medical", "Médico", H1348="Technical Degree", "Curso Técnico", H1348="Marketing", "Marketing", H1348="Human Resources", "Recursos Humanos")</f>
        <v>Ciências da Vida</v>
      </c>
      <c r="AL1348" t="str" cm="1">
        <f t="array" ref="AL134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49" spans="1:38" x14ac:dyDescent="0.25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IF(tbRh[[#This Row],[Gender]]="Female","Feminino","Masculino")</f>
        <v>Masculino</v>
      </c>
      <c r="AK1349" t="str" cm="1">
        <f t="array" ref="AK1349">_xlfn.IFS(H1349="Life Sciences", "Ciências da Vida", H1349="Other", "Outro", H1349="Medical", "Médico", H1349="Technical Degree", "Curso Técnico", H1349="Marketing", "Marketing", H1349="Human Resources", "Recursos Humanos")</f>
        <v>Recursos Humanos</v>
      </c>
      <c r="AL1349" t="str" cm="1">
        <f t="array" ref="AL1349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50" spans="1:38" x14ac:dyDescent="0.25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IF(tbRh[[#This Row],[Gender]]="Female","Feminino","Masculino")</f>
        <v>Masculino</v>
      </c>
      <c r="AK1350" t="str" cm="1">
        <f t="array" ref="AK1350">_xlfn.IFS(H1350="Life Sciences", "Ciências da Vida", H1350="Other", "Outro", H1350="Medical", "Médico", H1350="Technical Degree", "Curso Técnico", H1350="Marketing", "Marketing", H1350="Human Resources", "Recursos Humanos")</f>
        <v>Ciências da Vida</v>
      </c>
      <c r="AL1350" t="str" cm="1">
        <f t="array" ref="AL135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51" spans="1:38" x14ac:dyDescent="0.25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IF(tbRh[[#This Row],[Gender]]="Female","Feminino","Masculino")</f>
        <v>Feminino</v>
      </c>
      <c r="AK1351" t="str" cm="1">
        <f t="array" ref="AK1351">_xlfn.IFS(H1351="Life Sciences", "Ciências da Vida", H1351="Other", "Outro", H1351="Medical", "Médico", H1351="Technical Degree", "Curso Técnico", H1351="Marketing", "Marketing", H1351="Human Resources", "Recursos Humanos")</f>
        <v>Ciências da Vida</v>
      </c>
      <c r="AL1351" t="str" cm="1">
        <f t="array" ref="AL13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52" spans="1:38" x14ac:dyDescent="0.25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IF(tbRh[[#This Row],[Gender]]="Female","Feminino","Masculino")</f>
        <v>Feminino</v>
      </c>
      <c r="AK1352" t="str" cm="1">
        <f t="array" ref="AK1352">_xlfn.IFS(H1352="Life Sciences", "Ciências da Vida", H1352="Other", "Outro", H1352="Medical", "Médico", H1352="Technical Degree", "Curso Técnico", H1352="Marketing", "Marketing", H1352="Human Resources", "Recursos Humanos")</f>
        <v>Médico</v>
      </c>
      <c r="AL1352" t="str" cm="1">
        <f t="array" ref="AL135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53" spans="1:38" x14ac:dyDescent="0.25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IF(tbRh[[#This Row],[Gender]]="Female","Feminino","Masculino")</f>
        <v>Feminino</v>
      </c>
      <c r="AK1353" t="str" cm="1">
        <f t="array" ref="AK1353">_xlfn.IFS(H1353="Life Sciences", "Ciências da Vida", H1353="Other", "Outro", H1353="Medical", "Médico", H1353="Technical Degree", "Curso Técnico", H1353="Marketing", "Marketing", H1353="Human Resources", "Recursos Humanos")</f>
        <v>Médico</v>
      </c>
      <c r="AL1353" t="str" cm="1">
        <f t="array" ref="AL135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54" spans="1:38" x14ac:dyDescent="0.25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IF(tbRh[[#This Row],[Gender]]="Female","Feminino","Masculino")</f>
        <v>Masculino</v>
      </c>
      <c r="AK1354" t="str" cm="1">
        <f t="array" ref="AK1354">_xlfn.IFS(H1354="Life Sciences", "Ciências da Vida", H1354="Other", "Outro", H1354="Medical", "Médico", H1354="Technical Degree", "Curso Técnico", H1354="Marketing", "Marketing", H1354="Human Resources", "Recursos Humanos")</f>
        <v>Ciências da Vida</v>
      </c>
      <c r="AL1354" t="str" cm="1">
        <f t="array" ref="AL135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55" spans="1:38" x14ac:dyDescent="0.25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IF(tbRh[[#This Row],[Gender]]="Female","Feminino","Masculino")</f>
        <v>Masculino</v>
      </c>
      <c r="AK1355" t="str" cm="1">
        <f t="array" ref="AK1355">_xlfn.IFS(H1355="Life Sciences", "Ciências da Vida", H1355="Other", "Outro", H1355="Medical", "Médico", H1355="Technical Degree", "Curso Técnico", H1355="Marketing", "Marketing", H1355="Human Resources", "Recursos Humanos")</f>
        <v>Curso Técnico</v>
      </c>
      <c r="AL1355" t="str" cm="1">
        <f t="array" ref="AL135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56" spans="1:38" x14ac:dyDescent="0.25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IF(tbRh[[#This Row],[Gender]]="Female","Feminino","Masculino")</f>
        <v>Masculino</v>
      </c>
      <c r="AK1356" t="str" cm="1">
        <f t="array" ref="AK1356">_xlfn.IFS(H1356="Life Sciences", "Ciências da Vida", H1356="Other", "Outro", H1356="Medical", "Médico", H1356="Technical Degree", "Curso Técnico", H1356="Marketing", "Marketing", H1356="Human Resources", "Recursos Humanos")</f>
        <v>Ciências da Vida</v>
      </c>
      <c r="AL1356" t="str" cm="1">
        <f t="array" ref="AL135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57" spans="1:38" x14ac:dyDescent="0.25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IF(tbRh[[#This Row],[Gender]]="Female","Feminino","Masculino")</f>
        <v>Masculino</v>
      </c>
      <c r="AK1357" t="str" cm="1">
        <f t="array" ref="AK1357">_xlfn.IFS(H1357="Life Sciences", "Ciências da Vida", H1357="Other", "Outro", H1357="Medical", "Médico", H1357="Technical Degree", "Curso Técnico", H1357="Marketing", "Marketing", H1357="Human Resources", "Recursos Humanos")</f>
        <v>Marketing</v>
      </c>
      <c r="AL1357" t="str" cm="1">
        <f t="array" ref="AL135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58" spans="1:38" x14ac:dyDescent="0.25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IF(tbRh[[#This Row],[Gender]]="Female","Feminino","Masculino")</f>
        <v>Feminino</v>
      </c>
      <c r="AK1358" t="str" cm="1">
        <f t="array" ref="AK1358">_xlfn.IFS(H1358="Life Sciences", "Ciências da Vida", H1358="Other", "Outro", H1358="Medical", "Médico", H1358="Technical Degree", "Curso Técnico", H1358="Marketing", "Marketing", H1358="Human Resources", "Recursos Humanos")</f>
        <v>Marketing</v>
      </c>
      <c r="AL1358" t="str" cm="1">
        <f t="array" ref="AL135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59" spans="1:38" x14ac:dyDescent="0.25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IF(tbRh[[#This Row],[Gender]]="Female","Feminino","Masculino")</f>
        <v>Masculino</v>
      </c>
      <c r="AK1359" t="str" cm="1">
        <f t="array" ref="AK1359">_xlfn.IFS(H1359="Life Sciences", "Ciências da Vida", H1359="Other", "Outro", H1359="Medical", "Médico", H1359="Technical Degree", "Curso Técnico", H1359="Marketing", "Marketing", H1359="Human Resources", "Recursos Humanos")</f>
        <v>Médico</v>
      </c>
      <c r="AL1359" t="str" cm="1">
        <f t="array" ref="AL13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60" spans="1:38" x14ac:dyDescent="0.25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IF(tbRh[[#This Row],[Gender]]="Female","Feminino","Masculino")</f>
        <v>Feminino</v>
      </c>
      <c r="AK1360" t="str" cm="1">
        <f t="array" ref="AK1360">_xlfn.IFS(H1360="Life Sciences", "Ciências da Vida", H1360="Other", "Outro", H1360="Medical", "Médico", H1360="Technical Degree", "Curso Técnico", H1360="Marketing", "Marketing", H1360="Human Resources", "Recursos Humanos")</f>
        <v>Médico</v>
      </c>
      <c r="AL1360" t="str" cm="1">
        <f t="array" ref="AL136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1" spans="1:38" x14ac:dyDescent="0.25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IF(tbRh[[#This Row],[Gender]]="Female","Feminino","Masculino")</f>
        <v>Feminino</v>
      </c>
      <c r="AK1361" t="str" cm="1">
        <f t="array" ref="AK1361">_xlfn.IFS(H1361="Life Sciences", "Ciências da Vida", H1361="Other", "Outro", H1361="Medical", "Médico", H1361="Technical Degree", "Curso Técnico", H1361="Marketing", "Marketing", H1361="Human Resources", "Recursos Humanos")</f>
        <v>Médico</v>
      </c>
      <c r="AL1361" t="str" cm="1">
        <f t="array" ref="AL136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2" spans="1:38" x14ac:dyDescent="0.25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IF(tbRh[[#This Row],[Gender]]="Female","Feminino","Masculino")</f>
        <v>Feminino</v>
      </c>
      <c r="AK1362" t="str" cm="1">
        <f t="array" ref="AK1362">_xlfn.IFS(H1362="Life Sciences", "Ciências da Vida", H1362="Other", "Outro", H1362="Medical", "Médico", H1362="Technical Degree", "Curso Técnico", H1362="Marketing", "Marketing", H1362="Human Resources", "Recursos Humanos")</f>
        <v>Médico</v>
      </c>
      <c r="AL1362" t="str" cm="1">
        <f t="array" ref="AL13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63" spans="1:38" x14ac:dyDescent="0.25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IF(tbRh[[#This Row],[Gender]]="Female","Feminino","Masculino")</f>
        <v>Masculino</v>
      </c>
      <c r="AK1363" t="str" cm="1">
        <f t="array" ref="AK1363">_xlfn.IFS(H1363="Life Sciences", "Ciências da Vida", H1363="Other", "Outro", H1363="Medical", "Médico", H1363="Technical Degree", "Curso Técnico", H1363="Marketing", "Marketing", H1363="Human Resources", "Recursos Humanos")</f>
        <v>Outro</v>
      </c>
      <c r="AL1363" t="str" cm="1">
        <f t="array" ref="AL136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64" spans="1:38" x14ac:dyDescent="0.25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IF(tbRh[[#This Row],[Gender]]="Female","Feminino","Masculino")</f>
        <v>Masculino</v>
      </c>
      <c r="AK1364" t="str" cm="1">
        <f t="array" ref="AK1364">_xlfn.IFS(H1364="Life Sciences", "Ciências da Vida", H1364="Other", "Outro", H1364="Medical", "Médico", H1364="Technical Degree", "Curso Técnico", H1364="Marketing", "Marketing", H1364="Human Resources", "Recursos Humanos")</f>
        <v>Médico</v>
      </c>
      <c r="AL1364" t="str" cm="1">
        <f t="array" ref="AL136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65" spans="1:38" x14ac:dyDescent="0.25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IF(tbRh[[#This Row],[Gender]]="Female","Feminino","Masculino")</f>
        <v>Masculino</v>
      </c>
      <c r="AK1365" t="str" cm="1">
        <f t="array" ref="AK1365">_xlfn.IFS(H1365="Life Sciences", "Ciências da Vida", H1365="Other", "Outro", H1365="Medical", "Médico", H1365="Technical Degree", "Curso Técnico", H1365="Marketing", "Marketing", H1365="Human Resources", "Recursos Humanos")</f>
        <v>Marketing</v>
      </c>
      <c r="AL1365" t="str" cm="1">
        <f t="array" ref="AL136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6" spans="1:38" x14ac:dyDescent="0.25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IF(tbRh[[#This Row],[Gender]]="Female","Feminino","Masculino")</f>
        <v>Masculino</v>
      </c>
      <c r="AK1366" t="str" cm="1">
        <f t="array" ref="AK1366">_xlfn.IFS(H1366="Life Sciences", "Ciências da Vida", H1366="Other", "Outro", H1366="Medical", "Médico", H1366="Technical Degree", "Curso Técnico", H1366="Marketing", "Marketing", H1366="Human Resources", "Recursos Humanos")</f>
        <v>Ciências da Vida</v>
      </c>
      <c r="AL1366" t="str" cm="1">
        <f t="array" ref="AL136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7" spans="1:38" x14ac:dyDescent="0.25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IF(tbRh[[#This Row],[Gender]]="Female","Feminino","Masculino")</f>
        <v>Masculino</v>
      </c>
      <c r="AK1367" t="str" cm="1">
        <f t="array" ref="AK1367">_xlfn.IFS(H1367="Life Sciences", "Ciências da Vida", H1367="Other", "Outro", H1367="Medical", "Médico", H1367="Technical Degree", "Curso Técnico", H1367="Marketing", "Marketing", H1367="Human Resources", "Recursos Humanos")</f>
        <v>Curso Técnico</v>
      </c>
      <c r="AL1367" t="str" cm="1">
        <f t="array" ref="AL136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8" spans="1:38" x14ac:dyDescent="0.25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IF(tbRh[[#This Row],[Gender]]="Female","Feminino","Masculino")</f>
        <v>Feminino</v>
      </c>
      <c r="AK1368" t="str" cm="1">
        <f t="array" ref="AK1368">_xlfn.IFS(H1368="Life Sciences", "Ciências da Vida", H1368="Other", "Outro", H1368="Medical", "Médico", H1368="Technical Degree", "Curso Técnico", H1368="Marketing", "Marketing", H1368="Human Resources", "Recursos Humanos")</f>
        <v>Ciências da Vida</v>
      </c>
      <c r="AL1368" t="str" cm="1">
        <f t="array" ref="AL136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69" spans="1:38" x14ac:dyDescent="0.25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IF(tbRh[[#This Row],[Gender]]="Female","Feminino","Masculino")</f>
        <v>Masculino</v>
      </c>
      <c r="AK1369" t="str" cm="1">
        <f t="array" ref="AK1369">_xlfn.IFS(H1369="Life Sciences", "Ciências da Vida", H1369="Other", "Outro", H1369="Medical", "Médico", H1369="Technical Degree", "Curso Técnico", H1369="Marketing", "Marketing", H1369="Human Resources", "Recursos Humanos")</f>
        <v>Curso Técnico</v>
      </c>
      <c r="AL1369" t="str" cm="1">
        <f t="array" ref="AL13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0" spans="1:38" x14ac:dyDescent="0.25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IF(tbRh[[#This Row],[Gender]]="Female","Feminino","Masculino")</f>
        <v>Masculino</v>
      </c>
      <c r="AK1370" t="str" cm="1">
        <f t="array" ref="AK1370">_xlfn.IFS(H1370="Life Sciences", "Ciências da Vida", H1370="Other", "Outro", H1370="Medical", "Médico", H1370="Technical Degree", "Curso Técnico", H1370="Marketing", "Marketing", H1370="Human Resources", "Recursos Humanos")</f>
        <v>Outro</v>
      </c>
      <c r="AL1370" t="str" cm="1">
        <f t="array" ref="AL137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1" spans="1:38" x14ac:dyDescent="0.25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IF(tbRh[[#This Row],[Gender]]="Female","Feminino","Masculino")</f>
        <v>Feminino</v>
      </c>
      <c r="AK1371" t="str" cm="1">
        <f t="array" ref="AK1371">_xlfn.IFS(H1371="Life Sciences", "Ciências da Vida", H1371="Other", "Outro", H1371="Medical", "Médico", H1371="Technical Degree", "Curso Técnico", H1371="Marketing", "Marketing", H1371="Human Resources", "Recursos Humanos")</f>
        <v>Marketing</v>
      </c>
      <c r="AL1371" t="str" cm="1">
        <f t="array" ref="AL137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72" spans="1:38" x14ac:dyDescent="0.25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IF(tbRh[[#This Row],[Gender]]="Female","Feminino","Masculino")</f>
        <v>Masculino</v>
      </c>
      <c r="AK1372" t="str" cm="1">
        <f t="array" ref="AK1372">_xlfn.IFS(H1372="Life Sciences", "Ciências da Vida", H1372="Other", "Outro", H1372="Medical", "Médico", H1372="Technical Degree", "Curso Técnico", H1372="Marketing", "Marketing", H1372="Human Resources", "Recursos Humanos")</f>
        <v>Curso Técnico</v>
      </c>
      <c r="AL1372" t="str" cm="1">
        <f t="array" ref="AL137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3" spans="1:38" x14ac:dyDescent="0.25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IF(tbRh[[#This Row],[Gender]]="Female","Feminino","Masculino")</f>
        <v>Feminino</v>
      </c>
      <c r="AK1373" t="str" cm="1">
        <f t="array" ref="AK1373">_xlfn.IFS(H1373="Life Sciences", "Ciências da Vida", H1373="Other", "Outro", H1373="Medical", "Médico", H1373="Technical Degree", "Curso Técnico", H1373="Marketing", "Marketing", H1373="Human Resources", "Recursos Humanos")</f>
        <v>Marketing</v>
      </c>
      <c r="AL1373" t="str" cm="1">
        <f t="array" ref="AL137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74" spans="1:38" x14ac:dyDescent="0.25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IF(tbRh[[#This Row],[Gender]]="Female","Feminino","Masculino")</f>
        <v>Masculino</v>
      </c>
      <c r="AK1374" t="str" cm="1">
        <f t="array" ref="AK1374">_xlfn.IFS(H1374="Life Sciences", "Ciências da Vida", H1374="Other", "Outro", H1374="Medical", "Médico", H1374="Technical Degree", "Curso Técnico", H1374="Marketing", "Marketing", H1374="Human Resources", "Recursos Humanos")</f>
        <v>Médico</v>
      </c>
      <c r="AL1374" t="str" cm="1">
        <f t="array" ref="AL137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5" spans="1:38" x14ac:dyDescent="0.25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IF(tbRh[[#This Row],[Gender]]="Female","Feminino","Masculino")</f>
        <v>Feminino</v>
      </c>
      <c r="AK1375" t="str" cm="1">
        <f t="array" ref="AK1375">_xlfn.IFS(H1375="Life Sciences", "Ciências da Vida", H1375="Other", "Outro", H1375="Medical", "Médico", H1375="Technical Degree", "Curso Técnico", H1375="Marketing", "Marketing", H1375="Human Resources", "Recursos Humanos")</f>
        <v>Médico</v>
      </c>
      <c r="AL1375" t="str" cm="1">
        <f t="array" ref="AL137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6" spans="1:38" x14ac:dyDescent="0.25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IF(tbRh[[#This Row],[Gender]]="Female","Feminino","Masculino")</f>
        <v>Feminino</v>
      </c>
      <c r="AK1376" t="str" cm="1">
        <f t="array" ref="AK1376">_xlfn.IFS(H1376="Life Sciences", "Ciências da Vida", H1376="Other", "Outro", H1376="Medical", "Médico", H1376="Technical Degree", "Curso Técnico", H1376="Marketing", "Marketing", H1376="Human Resources", "Recursos Humanos")</f>
        <v>Ciências da Vida</v>
      </c>
      <c r="AL1376" t="str" cm="1">
        <f t="array" ref="AL137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77" spans="1:38" x14ac:dyDescent="0.25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IF(tbRh[[#This Row],[Gender]]="Female","Feminino","Masculino")</f>
        <v>Feminino</v>
      </c>
      <c r="AK1377" t="str" cm="1">
        <f t="array" ref="AK1377">_xlfn.IFS(H1377="Life Sciences", "Ciências da Vida", H1377="Other", "Outro", H1377="Medical", "Médico", H1377="Technical Degree", "Curso Técnico", H1377="Marketing", "Marketing", H1377="Human Resources", "Recursos Humanos")</f>
        <v>Ciências da Vida</v>
      </c>
      <c r="AL1377" t="str" cm="1">
        <f t="array" ref="AL137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8" spans="1:38" x14ac:dyDescent="0.25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IF(tbRh[[#This Row],[Gender]]="Female","Feminino","Masculino")</f>
        <v>Masculino</v>
      </c>
      <c r="AK1378" t="str" cm="1">
        <f t="array" ref="AK1378">_xlfn.IFS(H1378="Life Sciences", "Ciências da Vida", H1378="Other", "Outro", H1378="Medical", "Médico", H1378="Technical Degree", "Curso Técnico", H1378="Marketing", "Marketing", H1378="Human Resources", "Recursos Humanos")</f>
        <v>Ciências da Vida</v>
      </c>
      <c r="AL1378" t="str" cm="1">
        <f t="array" ref="AL137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79" spans="1:38" x14ac:dyDescent="0.25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IF(tbRh[[#This Row],[Gender]]="Female","Feminino","Masculino")</f>
        <v>Masculino</v>
      </c>
      <c r="AK1379" t="str" cm="1">
        <f t="array" ref="AK1379">_xlfn.IFS(H1379="Life Sciences", "Ciências da Vida", H1379="Other", "Outro", H1379="Medical", "Médico", H1379="Technical Degree", "Curso Técnico", H1379="Marketing", "Marketing", H1379="Human Resources", "Recursos Humanos")</f>
        <v>Ciências da Vida</v>
      </c>
      <c r="AL1379" t="str" cm="1">
        <f t="array" ref="AL137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80" spans="1:38" x14ac:dyDescent="0.25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IF(tbRh[[#This Row],[Gender]]="Female","Feminino","Masculino")</f>
        <v>Masculino</v>
      </c>
      <c r="AK1380" t="str" cm="1">
        <f t="array" ref="AK1380">_xlfn.IFS(H1380="Life Sciences", "Ciências da Vida", H1380="Other", "Outro", H1380="Medical", "Médico", H1380="Technical Degree", "Curso Técnico", H1380="Marketing", "Marketing", H1380="Human Resources", "Recursos Humanos")</f>
        <v>Marketing</v>
      </c>
      <c r="AL1380" t="str" cm="1">
        <f t="array" ref="AL138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81" spans="1:38" x14ac:dyDescent="0.25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IF(tbRh[[#This Row],[Gender]]="Female","Feminino","Masculino")</f>
        <v>Feminino</v>
      </c>
      <c r="AK1381" t="str" cm="1">
        <f t="array" ref="AK1381">_xlfn.IFS(H1381="Life Sciences", "Ciências da Vida", H1381="Other", "Outro", H1381="Medical", "Médico", H1381="Technical Degree", "Curso Técnico", H1381="Marketing", "Marketing", H1381="Human Resources", "Recursos Humanos")</f>
        <v>Recursos Humanos</v>
      </c>
      <c r="AL1381" t="str" cm="1">
        <f t="array" ref="AL1381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382" spans="1:38" x14ac:dyDescent="0.25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IF(tbRh[[#This Row],[Gender]]="Female","Feminino","Masculino")</f>
        <v>Masculino</v>
      </c>
      <c r="AK1382" t="str" cm="1">
        <f t="array" ref="AK1382">_xlfn.IFS(H1382="Life Sciences", "Ciências da Vida", H1382="Other", "Outro", H1382="Medical", "Médico", H1382="Technical Degree", "Curso Técnico", H1382="Marketing", "Marketing", H1382="Human Resources", "Recursos Humanos")</f>
        <v>Médico</v>
      </c>
      <c r="AL1382" t="str" cm="1">
        <f t="array" ref="AL138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83" spans="1:38" x14ac:dyDescent="0.25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IF(tbRh[[#This Row],[Gender]]="Female","Feminino","Masculino")</f>
        <v>Masculino</v>
      </c>
      <c r="AK1383" t="str" cm="1">
        <f t="array" ref="AK1383">_xlfn.IFS(H1383="Life Sciences", "Ciências da Vida", H1383="Other", "Outro", H1383="Medical", "Médico", H1383="Technical Degree", "Curso Técnico", H1383="Marketing", "Marketing", H1383="Human Resources", "Recursos Humanos")</f>
        <v>Médico</v>
      </c>
      <c r="AL1383" t="str" cm="1">
        <f t="array" ref="AL138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84" spans="1:38" x14ac:dyDescent="0.25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IF(tbRh[[#This Row],[Gender]]="Female","Feminino","Masculino")</f>
        <v>Masculino</v>
      </c>
      <c r="AK1384" t="str" cm="1">
        <f t="array" ref="AK1384">_xlfn.IFS(H1384="Life Sciences", "Ciências da Vida", H1384="Other", "Outro", H1384="Medical", "Médico", H1384="Technical Degree", "Curso Técnico", H1384="Marketing", "Marketing", H1384="Human Resources", "Recursos Humanos")</f>
        <v>Médico</v>
      </c>
      <c r="AL1384" t="str" cm="1">
        <f t="array" ref="AL138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85" spans="1:38" x14ac:dyDescent="0.25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IF(tbRh[[#This Row],[Gender]]="Female","Feminino","Masculino")</f>
        <v>Masculino</v>
      </c>
      <c r="AK1385" t="str" cm="1">
        <f t="array" ref="AK1385">_xlfn.IFS(H1385="Life Sciences", "Ciências da Vida", H1385="Other", "Outro", H1385="Medical", "Médico", H1385="Technical Degree", "Curso Técnico", H1385="Marketing", "Marketing", H1385="Human Resources", "Recursos Humanos")</f>
        <v>Ciências da Vida</v>
      </c>
      <c r="AL1385" t="str" cm="1">
        <f t="array" ref="AL138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86" spans="1:38" x14ac:dyDescent="0.25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IF(tbRh[[#This Row],[Gender]]="Female","Feminino","Masculino")</f>
        <v>Masculino</v>
      </c>
      <c r="AK1386" t="str" cm="1">
        <f t="array" ref="AK1386">_xlfn.IFS(H1386="Life Sciences", "Ciências da Vida", H1386="Other", "Outro", H1386="Medical", "Médico", H1386="Technical Degree", "Curso Técnico", H1386="Marketing", "Marketing", H1386="Human Resources", "Recursos Humanos")</f>
        <v>Marketing</v>
      </c>
      <c r="AL1386" t="str" cm="1">
        <f t="array" ref="AL138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87" spans="1:38" x14ac:dyDescent="0.25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IF(tbRh[[#This Row],[Gender]]="Female","Feminino","Masculino")</f>
        <v>Masculino</v>
      </c>
      <c r="AK1387" t="str" cm="1">
        <f t="array" ref="AK1387">_xlfn.IFS(H1387="Life Sciences", "Ciências da Vida", H1387="Other", "Outro", H1387="Medical", "Médico", H1387="Technical Degree", "Curso Técnico", H1387="Marketing", "Marketing", H1387="Human Resources", "Recursos Humanos")</f>
        <v>Médico</v>
      </c>
      <c r="AL1387" t="str" cm="1">
        <f t="array" ref="AL138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88" spans="1:38" x14ac:dyDescent="0.25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IF(tbRh[[#This Row],[Gender]]="Female","Feminino","Masculino")</f>
        <v>Masculino</v>
      </c>
      <c r="AK1388" t="str" cm="1">
        <f t="array" ref="AK1388">_xlfn.IFS(H1388="Life Sciences", "Ciências da Vida", H1388="Other", "Outro", H1388="Medical", "Médico", H1388="Technical Degree", "Curso Técnico", H1388="Marketing", "Marketing", H1388="Human Resources", "Recursos Humanos")</f>
        <v>Médico</v>
      </c>
      <c r="AL1388" t="str" cm="1">
        <f t="array" ref="AL138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89" spans="1:38" x14ac:dyDescent="0.25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IF(tbRh[[#This Row],[Gender]]="Female","Feminino","Masculino")</f>
        <v>Masculino</v>
      </c>
      <c r="AK1389" t="str" cm="1">
        <f t="array" ref="AK1389">_xlfn.IFS(H1389="Life Sciences", "Ciências da Vida", H1389="Other", "Outro", H1389="Medical", "Médico", H1389="Technical Degree", "Curso Técnico", H1389="Marketing", "Marketing", H1389="Human Resources", "Recursos Humanos")</f>
        <v>Ciências da Vida</v>
      </c>
      <c r="AL1389" t="str" cm="1">
        <f t="array" ref="AL138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90" spans="1:38" x14ac:dyDescent="0.25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IF(tbRh[[#This Row],[Gender]]="Female","Feminino","Masculino")</f>
        <v>Feminino</v>
      </c>
      <c r="AK1390" t="str" cm="1">
        <f t="array" ref="AK1390">_xlfn.IFS(H1390="Life Sciences", "Ciências da Vida", H1390="Other", "Outro", H1390="Medical", "Médico", H1390="Technical Degree", "Curso Técnico", H1390="Marketing", "Marketing", H1390="Human Resources", "Recursos Humanos")</f>
        <v>Médico</v>
      </c>
      <c r="AL1390" t="str" cm="1">
        <f t="array" ref="AL139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91" spans="1:38" x14ac:dyDescent="0.25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IF(tbRh[[#This Row],[Gender]]="Female","Feminino","Masculino")</f>
        <v>Masculino</v>
      </c>
      <c r="AK1391" t="str" cm="1">
        <f t="array" ref="AK1391">_xlfn.IFS(H1391="Life Sciences", "Ciências da Vida", H1391="Other", "Outro", H1391="Medical", "Médico", H1391="Technical Degree", "Curso Técnico", H1391="Marketing", "Marketing", H1391="Human Resources", "Recursos Humanos")</f>
        <v>Ciências da Vida</v>
      </c>
      <c r="AL1391" t="str" cm="1">
        <f t="array" ref="AL139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92" spans="1:38" x14ac:dyDescent="0.25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IF(tbRh[[#This Row],[Gender]]="Female","Feminino","Masculino")</f>
        <v>Masculino</v>
      </c>
      <c r="AK1392" t="str" cm="1">
        <f t="array" ref="AK1392">_xlfn.IFS(H1392="Life Sciences", "Ciências da Vida", H1392="Other", "Outro", H1392="Medical", "Médico", H1392="Technical Degree", "Curso Técnico", H1392="Marketing", "Marketing", H1392="Human Resources", "Recursos Humanos")</f>
        <v>Curso Técnico</v>
      </c>
      <c r="AL1392" t="str" cm="1">
        <f t="array" ref="AL139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93" spans="1:38" x14ac:dyDescent="0.25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IF(tbRh[[#This Row],[Gender]]="Female","Feminino","Masculino")</f>
        <v>Masculino</v>
      </c>
      <c r="AK1393" t="str" cm="1">
        <f t="array" ref="AK1393">_xlfn.IFS(H1393="Life Sciences", "Ciências da Vida", H1393="Other", "Outro", H1393="Medical", "Médico", H1393="Technical Degree", "Curso Técnico", H1393="Marketing", "Marketing", H1393="Human Resources", "Recursos Humanos")</f>
        <v>Ciências da Vida</v>
      </c>
      <c r="AL1393" t="str" cm="1">
        <f t="array" ref="AL139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94" spans="1:38" x14ac:dyDescent="0.25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IF(tbRh[[#This Row],[Gender]]="Female","Feminino","Masculino")</f>
        <v>Feminino</v>
      </c>
      <c r="AK1394" t="str" cm="1">
        <f t="array" ref="AK1394">_xlfn.IFS(H1394="Life Sciences", "Ciências da Vida", H1394="Other", "Outro", H1394="Medical", "Médico", H1394="Technical Degree", "Curso Técnico", H1394="Marketing", "Marketing", H1394="Human Resources", "Recursos Humanos")</f>
        <v>Ciências da Vida</v>
      </c>
      <c r="AL1394" t="str" cm="1">
        <f t="array" ref="AL139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95" spans="1:38" x14ac:dyDescent="0.25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IF(tbRh[[#This Row],[Gender]]="Female","Feminino","Masculino")</f>
        <v>Masculino</v>
      </c>
      <c r="AK1395" t="str" cm="1">
        <f t="array" ref="AK1395">_xlfn.IFS(H1395="Life Sciences", "Ciências da Vida", H1395="Other", "Outro", H1395="Medical", "Médico", H1395="Technical Degree", "Curso Técnico", H1395="Marketing", "Marketing", H1395="Human Resources", "Recursos Humanos")</f>
        <v>Marketing</v>
      </c>
      <c r="AL1395" t="str" cm="1">
        <f t="array" ref="AL139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96" spans="1:38" x14ac:dyDescent="0.25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IF(tbRh[[#This Row],[Gender]]="Female","Feminino","Masculino")</f>
        <v>Masculino</v>
      </c>
      <c r="AK1396" t="str" cm="1">
        <f t="array" ref="AK1396">_xlfn.IFS(H1396="Life Sciences", "Ciências da Vida", H1396="Other", "Outro", H1396="Medical", "Médico", H1396="Technical Degree", "Curso Técnico", H1396="Marketing", "Marketing", H1396="Human Resources", "Recursos Humanos")</f>
        <v>Ciências da Vida</v>
      </c>
      <c r="AL1396" t="str" cm="1">
        <f t="array" ref="AL139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397" spans="1:38" x14ac:dyDescent="0.25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IF(tbRh[[#This Row],[Gender]]="Female","Feminino","Masculino")</f>
        <v>Masculino</v>
      </c>
      <c r="AK1397" t="str" cm="1">
        <f t="array" ref="AK1397">_xlfn.IFS(H1397="Life Sciences", "Ciências da Vida", H1397="Other", "Outro", H1397="Medical", "Médico", H1397="Technical Degree", "Curso Técnico", H1397="Marketing", "Marketing", H1397="Human Resources", "Recursos Humanos")</f>
        <v>Marketing</v>
      </c>
      <c r="AL1397" t="str" cm="1">
        <f t="array" ref="AL1397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98" spans="1:38" x14ac:dyDescent="0.25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IF(tbRh[[#This Row],[Gender]]="Female","Feminino","Masculino")</f>
        <v>Masculino</v>
      </c>
      <c r="AK1398" t="str" cm="1">
        <f t="array" ref="AK1398">_xlfn.IFS(H1398="Life Sciences", "Ciências da Vida", H1398="Other", "Outro", H1398="Medical", "Médico", H1398="Technical Degree", "Curso Técnico", H1398="Marketing", "Marketing", H1398="Human Resources", "Recursos Humanos")</f>
        <v>Ciências da Vida</v>
      </c>
      <c r="AL1398" t="str" cm="1">
        <f t="array" ref="AL139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399" spans="1:38" x14ac:dyDescent="0.25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IF(tbRh[[#This Row],[Gender]]="Female","Feminino","Masculino")</f>
        <v>Feminino</v>
      </c>
      <c r="AK1399" t="str" cm="1">
        <f t="array" ref="AK1399">_xlfn.IFS(H1399="Life Sciences", "Ciências da Vida", H1399="Other", "Outro", H1399="Medical", "Médico", H1399="Technical Degree", "Curso Técnico", H1399="Marketing", "Marketing", H1399="Human Resources", "Recursos Humanos")</f>
        <v>Ciências da Vida</v>
      </c>
      <c r="AL1399" t="str" cm="1">
        <f t="array" ref="AL139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0" spans="1:38" x14ac:dyDescent="0.25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IF(tbRh[[#This Row],[Gender]]="Female","Feminino","Masculino")</f>
        <v>Masculino</v>
      </c>
      <c r="AK1400" t="str" cm="1">
        <f t="array" ref="AK1400">_xlfn.IFS(H1400="Life Sciences", "Ciências da Vida", H1400="Other", "Outro", H1400="Medical", "Médico", H1400="Technical Degree", "Curso Técnico", H1400="Marketing", "Marketing", H1400="Human Resources", "Recursos Humanos")</f>
        <v>Ciências da Vida</v>
      </c>
      <c r="AL1400" t="str" cm="1">
        <f t="array" ref="AL140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1" spans="1:38" x14ac:dyDescent="0.25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IF(tbRh[[#This Row],[Gender]]="Female","Feminino","Masculino")</f>
        <v>Masculino</v>
      </c>
      <c r="AK1401" t="str" cm="1">
        <f t="array" ref="AK1401">_xlfn.IFS(H1401="Life Sciences", "Ciências da Vida", H1401="Other", "Outro", H1401="Medical", "Médico", H1401="Technical Degree", "Curso Técnico", H1401="Marketing", "Marketing", H1401="Human Resources", "Recursos Humanos")</f>
        <v>Ciências da Vida</v>
      </c>
      <c r="AL1401" t="str" cm="1">
        <f t="array" ref="AL140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2" spans="1:38" x14ac:dyDescent="0.25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IF(tbRh[[#This Row],[Gender]]="Female","Feminino","Masculino")</f>
        <v>Masculino</v>
      </c>
      <c r="AK1402" t="str" cm="1">
        <f t="array" ref="AK1402">_xlfn.IFS(H1402="Life Sciences", "Ciências da Vida", H1402="Other", "Outro", H1402="Medical", "Médico", H1402="Technical Degree", "Curso Técnico", H1402="Marketing", "Marketing", H1402="Human Resources", "Recursos Humanos")</f>
        <v>Outro</v>
      </c>
      <c r="AL1402" t="str" cm="1">
        <f t="array" ref="AL140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403" spans="1:38" x14ac:dyDescent="0.25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IF(tbRh[[#This Row],[Gender]]="Female","Feminino","Masculino")</f>
        <v>Masculino</v>
      </c>
      <c r="AK1403" t="str" cm="1">
        <f t="array" ref="AK1403">_xlfn.IFS(H1403="Life Sciences", "Ciências da Vida", H1403="Other", "Outro", H1403="Medical", "Médico", H1403="Technical Degree", "Curso Técnico", H1403="Marketing", "Marketing", H1403="Human Resources", "Recursos Humanos")</f>
        <v>Recursos Humanos</v>
      </c>
      <c r="AL1403" t="str" cm="1">
        <f t="array" ref="AL1403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404" spans="1:38" x14ac:dyDescent="0.25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IF(tbRh[[#This Row],[Gender]]="Female","Feminino","Masculino")</f>
        <v>Feminino</v>
      </c>
      <c r="AK1404" t="str" cm="1">
        <f t="array" ref="AK1404">_xlfn.IFS(H1404="Life Sciences", "Ciências da Vida", H1404="Other", "Outro", H1404="Medical", "Médico", H1404="Technical Degree", "Curso Técnico", H1404="Marketing", "Marketing", H1404="Human Resources", "Recursos Humanos")</f>
        <v>Médico</v>
      </c>
      <c r="AL1404" t="str" cm="1">
        <f t="array" ref="AL140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5" spans="1:38" x14ac:dyDescent="0.25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IF(tbRh[[#This Row],[Gender]]="Female","Feminino","Masculino")</f>
        <v>Masculino</v>
      </c>
      <c r="AK1405" t="str" cm="1">
        <f t="array" ref="AK1405">_xlfn.IFS(H1405="Life Sciences", "Ciências da Vida", H1405="Other", "Outro", H1405="Medical", "Médico", H1405="Technical Degree", "Curso Técnico", H1405="Marketing", "Marketing", H1405="Human Resources", "Recursos Humanos")</f>
        <v>Marketing</v>
      </c>
      <c r="AL1405" t="str" cm="1">
        <f t="array" ref="AL140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06" spans="1:38" x14ac:dyDescent="0.25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IF(tbRh[[#This Row],[Gender]]="Female","Feminino","Masculino")</f>
        <v>Masculino</v>
      </c>
      <c r="AK1406" t="str" cm="1">
        <f t="array" ref="AK1406">_xlfn.IFS(H1406="Life Sciences", "Ciências da Vida", H1406="Other", "Outro", H1406="Medical", "Médico", H1406="Technical Degree", "Curso Técnico", H1406="Marketing", "Marketing", H1406="Human Resources", "Recursos Humanos")</f>
        <v>Ciências da Vida</v>
      </c>
      <c r="AL1406" t="str" cm="1">
        <f t="array" ref="AL140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7" spans="1:38" x14ac:dyDescent="0.25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IF(tbRh[[#This Row],[Gender]]="Female","Feminino","Masculino")</f>
        <v>Feminino</v>
      </c>
      <c r="AK1407" t="str" cm="1">
        <f t="array" ref="AK1407">_xlfn.IFS(H1407="Life Sciences", "Ciências da Vida", H1407="Other", "Outro", H1407="Medical", "Médico", H1407="Technical Degree", "Curso Técnico", H1407="Marketing", "Marketing", H1407="Human Resources", "Recursos Humanos")</f>
        <v>Médico</v>
      </c>
      <c r="AL1407" t="str" cm="1">
        <f t="array" ref="AL140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8" spans="1:38" x14ac:dyDescent="0.25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IF(tbRh[[#This Row],[Gender]]="Female","Feminino","Masculino")</f>
        <v>Feminino</v>
      </c>
      <c r="AK1408" t="str" cm="1">
        <f t="array" ref="AK1408">_xlfn.IFS(H1408="Life Sciences", "Ciências da Vida", H1408="Other", "Outro", H1408="Medical", "Médico", H1408="Technical Degree", "Curso Técnico", H1408="Marketing", "Marketing", H1408="Human Resources", "Recursos Humanos")</f>
        <v>Médico</v>
      </c>
      <c r="AL1408" t="str" cm="1">
        <f t="array" ref="AL140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09" spans="1:38" x14ac:dyDescent="0.25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IF(tbRh[[#This Row],[Gender]]="Female","Feminino","Masculino")</f>
        <v>Masculino</v>
      </c>
      <c r="AK1409" t="str" cm="1">
        <f t="array" ref="AK1409">_xlfn.IFS(H1409="Life Sciences", "Ciências da Vida", H1409="Other", "Outro", H1409="Medical", "Médico", H1409="Technical Degree", "Curso Técnico", H1409="Marketing", "Marketing", H1409="Human Resources", "Recursos Humanos")</f>
        <v>Ciências da Vida</v>
      </c>
      <c r="AL1409" t="str" cm="1">
        <f t="array" ref="AL140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0" spans="1:38" x14ac:dyDescent="0.25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IF(tbRh[[#This Row],[Gender]]="Female","Feminino","Masculino")</f>
        <v>Masculino</v>
      </c>
      <c r="AK1410" t="str" cm="1">
        <f t="array" ref="AK1410">_xlfn.IFS(H1410="Life Sciences", "Ciências da Vida", H1410="Other", "Outro", H1410="Medical", "Médico", H1410="Technical Degree", "Curso Técnico", H1410="Marketing", "Marketing", H1410="Human Resources", "Recursos Humanos")</f>
        <v>Outro</v>
      </c>
      <c r="AL1410" t="str" cm="1">
        <f t="array" ref="AL141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1" spans="1:38" x14ac:dyDescent="0.25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IF(tbRh[[#This Row],[Gender]]="Female","Feminino","Masculino")</f>
        <v>Feminino</v>
      </c>
      <c r="AK1411" t="str" cm="1">
        <f t="array" ref="AK1411">_xlfn.IFS(H1411="Life Sciences", "Ciências da Vida", H1411="Other", "Outro", H1411="Medical", "Médico", H1411="Technical Degree", "Curso Técnico", H1411="Marketing", "Marketing", H1411="Human Resources", "Recursos Humanos")</f>
        <v>Curso Técnico</v>
      </c>
      <c r="AL1411" t="str" cm="1">
        <f t="array" ref="AL141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2" spans="1:38" x14ac:dyDescent="0.25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IF(tbRh[[#This Row],[Gender]]="Female","Feminino","Masculino")</f>
        <v>Feminino</v>
      </c>
      <c r="AK1412" t="str" cm="1">
        <f t="array" ref="AK1412">_xlfn.IFS(H1412="Life Sciences", "Ciências da Vida", H1412="Other", "Outro", H1412="Medical", "Médico", H1412="Technical Degree", "Curso Técnico", H1412="Marketing", "Marketing", H1412="Human Resources", "Recursos Humanos")</f>
        <v>Marketing</v>
      </c>
      <c r="AL1412" t="str" cm="1">
        <f t="array" ref="AL1412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13" spans="1:38" x14ac:dyDescent="0.25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IF(tbRh[[#This Row],[Gender]]="Female","Feminino","Masculino")</f>
        <v>Feminino</v>
      </c>
      <c r="AK1413" t="str" cm="1">
        <f t="array" ref="AK1413">_xlfn.IFS(H1413="Life Sciences", "Ciências da Vida", H1413="Other", "Outro", H1413="Medical", "Médico", H1413="Technical Degree", "Curso Técnico", H1413="Marketing", "Marketing", H1413="Human Resources", "Recursos Humanos")</f>
        <v>Recursos Humanos</v>
      </c>
      <c r="AL1413" t="str" cm="1">
        <f t="array" ref="AL1413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414" spans="1:38" x14ac:dyDescent="0.25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IF(tbRh[[#This Row],[Gender]]="Female","Feminino","Masculino")</f>
        <v>Masculino</v>
      </c>
      <c r="AK1414" t="str" cm="1">
        <f t="array" ref="AK1414">_xlfn.IFS(H1414="Life Sciences", "Ciências da Vida", H1414="Other", "Outro", H1414="Medical", "Médico", H1414="Technical Degree", "Curso Técnico", H1414="Marketing", "Marketing", H1414="Human Resources", "Recursos Humanos")</f>
        <v>Médico</v>
      </c>
      <c r="AL1414" t="str" cm="1">
        <f t="array" ref="AL141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5" spans="1:38" x14ac:dyDescent="0.25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IF(tbRh[[#This Row],[Gender]]="Female","Feminino","Masculino")</f>
        <v>Masculino</v>
      </c>
      <c r="AK1415" t="str" cm="1">
        <f t="array" ref="AK1415">_xlfn.IFS(H1415="Life Sciences", "Ciências da Vida", H1415="Other", "Outro", H1415="Medical", "Médico", H1415="Technical Degree", "Curso Técnico", H1415="Marketing", "Marketing", H1415="Human Resources", "Recursos Humanos")</f>
        <v>Outro</v>
      </c>
      <c r="AL1415" t="str" cm="1">
        <f t="array" ref="AL141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6" spans="1:38" x14ac:dyDescent="0.25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IF(tbRh[[#This Row],[Gender]]="Female","Feminino","Masculino")</f>
        <v>Masculino</v>
      </c>
      <c r="AK1416" t="str" cm="1">
        <f t="array" ref="AK1416">_xlfn.IFS(H1416="Life Sciences", "Ciências da Vida", H1416="Other", "Outro", H1416="Medical", "Médico", H1416="Technical Degree", "Curso Técnico", H1416="Marketing", "Marketing", H1416="Human Resources", "Recursos Humanos")</f>
        <v>Médico</v>
      </c>
      <c r="AL1416" t="str" cm="1">
        <f t="array" ref="AL141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7" spans="1:38" x14ac:dyDescent="0.25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IF(tbRh[[#This Row],[Gender]]="Female","Feminino","Masculino")</f>
        <v>Masculino</v>
      </c>
      <c r="AK1417" t="str" cm="1">
        <f t="array" ref="AK1417">_xlfn.IFS(H1417="Life Sciences", "Ciências da Vida", H1417="Other", "Outro", H1417="Medical", "Médico", H1417="Technical Degree", "Curso Técnico", H1417="Marketing", "Marketing", H1417="Human Resources", "Recursos Humanos")</f>
        <v>Médico</v>
      </c>
      <c r="AL1417" t="str" cm="1">
        <f t="array" ref="AL141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18" spans="1:38" x14ac:dyDescent="0.25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IF(tbRh[[#This Row],[Gender]]="Female","Feminino","Masculino")</f>
        <v>Masculino</v>
      </c>
      <c r="AK1418" t="str" cm="1">
        <f t="array" ref="AK1418">_xlfn.IFS(H1418="Life Sciences", "Ciências da Vida", H1418="Other", "Outro", H1418="Medical", "Médico", H1418="Technical Degree", "Curso Técnico", H1418="Marketing", "Marketing", H1418="Human Resources", "Recursos Humanos")</f>
        <v>Ciências da Vida</v>
      </c>
      <c r="AL1418" t="str" cm="1">
        <f t="array" ref="AL141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19" spans="1:38" x14ac:dyDescent="0.25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IF(tbRh[[#This Row],[Gender]]="Female","Feminino","Masculino")</f>
        <v>Masculino</v>
      </c>
      <c r="AK1419" t="str" cm="1">
        <f t="array" ref="AK1419">_xlfn.IFS(H1419="Life Sciences", "Ciências da Vida", H1419="Other", "Outro", H1419="Medical", "Médico", H1419="Technical Degree", "Curso Técnico", H1419="Marketing", "Marketing", H1419="Human Resources", "Recursos Humanos")</f>
        <v>Ciências da Vida</v>
      </c>
      <c r="AL1419" t="str" cm="1">
        <f t="array" ref="AL141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20" spans="1:38" x14ac:dyDescent="0.25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IF(tbRh[[#This Row],[Gender]]="Female","Feminino","Masculino")</f>
        <v>Masculino</v>
      </c>
      <c r="AK1420" t="str" cm="1">
        <f t="array" ref="AK1420">_xlfn.IFS(H1420="Life Sciences", "Ciências da Vida", H1420="Other", "Outro", H1420="Medical", "Médico", H1420="Technical Degree", "Curso Técnico", H1420="Marketing", "Marketing", H1420="Human Resources", "Recursos Humanos")</f>
        <v>Ciências da Vida</v>
      </c>
      <c r="AL1420" t="str" cm="1">
        <f t="array" ref="AL142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1" spans="1:38" x14ac:dyDescent="0.25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IF(tbRh[[#This Row],[Gender]]="Female","Feminino","Masculino")</f>
        <v>Masculino</v>
      </c>
      <c r="AK1421" t="str" cm="1">
        <f t="array" ref="AK1421">_xlfn.IFS(H1421="Life Sciences", "Ciências da Vida", H1421="Other", "Outro", H1421="Medical", "Médico", H1421="Technical Degree", "Curso Técnico", H1421="Marketing", "Marketing", H1421="Human Resources", "Recursos Humanos")</f>
        <v>Ciências da Vida</v>
      </c>
      <c r="AL1421" t="str" cm="1">
        <f t="array" ref="AL142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2" spans="1:38" x14ac:dyDescent="0.25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IF(tbRh[[#This Row],[Gender]]="Female","Feminino","Masculino")</f>
        <v>Masculino</v>
      </c>
      <c r="AK1422" t="str" cm="1">
        <f t="array" ref="AK1422">_xlfn.IFS(H1422="Life Sciences", "Ciências da Vida", H1422="Other", "Outro", H1422="Medical", "Médico", H1422="Technical Degree", "Curso Técnico", H1422="Marketing", "Marketing", H1422="Human Resources", "Recursos Humanos")</f>
        <v>Ciências da Vida</v>
      </c>
      <c r="AL1422" t="str" cm="1">
        <f t="array" ref="AL142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3" spans="1:38" x14ac:dyDescent="0.25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IF(tbRh[[#This Row],[Gender]]="Female","Feminino","Masculino")</f>
        <v>Feminino</v>
      </c>
      <c r="AK1423" t="str" cm="1">
        <f t="array" ref="AK1423">_xlfn.IFS(H1423="Life Sciences", "Ciências da Vida", H1423="Other", "Outro", H1423="Medical", "Médico", H1423="Technical Degree", "Curso Técnico", H1423="Marketing", "Marketing", H1423="Human Resources", "Recursos Humanos")</f>
        <v>Médico</v>
      </c>
      <c r="AL1423" t="str" cm="1">
        <f t="array" ref="AL142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4" spans="1:38" x14ac:dyDescent="0.25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IF(tbRh[[#This Row],[Gender]]="Female","Feminino","Masculino")</f>
        <v>Masculino</v>
      </c>
      <c r="AK1424" t="str" cm="1">
        <f t="array" ref="AK1424">_xlfn.IFS(H1424="Life Sciences", "Ciências da Vida", H1424="Other", "Outro", H1424="Medical", "Médico", H1424="Technical Degree", "Curso Técnico", H1424="Marketing", "Marketing", H1424="Human Resources", "Recursos Humanos")</f>
        <v>Médico</v>
      </c>
      <c r="AL1424" t="str" cm="1">
        <f t="array" ref="AL142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5" spans="1:38" x14ac:dyDescent="0.25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IF(tbRh[[#This Row],[Gender]]="Female","Feminino","Masculino")</f>
        <v>Masculino</v>
      </c>
      <c r="AK1425" t="str" cm="1">
        <f t="array" ref="AK1425">_xlfn.IFS(H1425="Life Sciences", "Ciências da Vida", H1425="Other", "Outro", H1425="Medical", "Médico", H1425="Technical Degree", "Curso Técnico", H1425="Marketing", "Marketing", H1425="Human Resources", "Recursos Humanos")</f>
        <v>Ciências da Vida</v>
      </c>
      <c r="AL1425" t="str" cm="1">
        <f t="array" ref="AL142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6" spans="1:38" x14ac:dyDescent="0.25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IF(tbRh[[#This Row],[Gender]]="Female","Feminino","Masculino")</f>
        <v>Masculino</v>
      </c>
      <c r="AK1426" t="str" cm="1">
        <f t="array" ref="AK1426">_xlfn.IFS(H1426="Life Sciences", "Ciências da Vida", H1426="Other", "Outro", H1426="Medical", "Médico", H1426="Technical Degree", "Curso Técnico", H1426="Marketing", "Marketing", H1426="Human Resources", "Recursos Humanos")</f>
        <v>Médico</v>
      </c>
      <c r="AL1426" t="str" cm="1">
        <f t="array" ref="AL142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7" spans="1:38" x14ac:dyDescent="0.25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IF(tbRh[[#This Row],[Gender]]="Female","Feminino","Masculino")</f>
        <v>Feminino</v>
      </c>
      <c r="AK1427" t="str" cm="1">
        <f t="array" ref="AK1427">_xlfn.IFS(H1427="Life Sciences", "Ciências da Vida", H1427="Other", "Outro", H1427="Medical", "Médico", H1427="Technical Degree", "Curso Técnico", H1427="Marketing", "Marketing", H1427="Human Resources", "Recursos Humanos")</f>
        <v>Médico</v>
      </c>
      <c r="AL1427" t="str" cm="1">
        <f t="array" ref="AL142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8" spans="1:38" x14ac:dyDescent="0.25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IF(tbRh[[#This Row],[Gender]]="Female","Feminino","Masculino")</f>
        <v>Feminino</v>
      </c>
      <c r="AK1428" t="str" cm="1">
        <f t="array" ref="AK1428">_xlfn.IFS(H1428="Life Sciences", "Ciências da Vida", H1428="Other", "Outro", H1428="Medical", "Médico", H1428="Technical Degree", "Curso Técnico", H1428="Marketing", "Marketing", H1428="Human Resources", "Recursos Humanos")</f>
        <v>Ciências da Vida</v>
      </c>
      <c r="AL1428" t="str" cm="1">
        <f t="array" ref="AL142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29" spans="1:38" x14ac:dyDescent="0.25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IF(tbRh[[#This Row],[Gender]]="Female","Feminino","Masculino")</f>
        <v>Masculino</v>
      </c>
      <c r="AK1429" t="str" cm="1">
        <f t="array" ref="AK1429">_xlfn.IFS(H1429="Life Sciences", "Ciências da Vida", H1429="Other", "Outro", H1429="Medical", "Médico", H1429="Technical Degree", "Curso Técnico", H1429="Marketing", "Marketing", H1429="Human Resources", "Recursos Humanos")</f>
        <v>Ciências da Vida</v>
      </c>
      <c r="AL1429" t="str" cm="1">
        <f t="array" ref="AL142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30" spans="1:38" x14ac:dyDescent="0.25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IF(tbRh[[#This Row],[Gender]]="Female","Feminino","Masculino")</f>
        <v>Masculino</v>
      </c>
      <c r="AK1430" t="str" cm="1">
        <f t="array" ref="AK1430">_xlfn.IFS(H1430="Life Sciences", "Ciências da Vida", H1430="Other", "Outro", H1430="Medical", "Médico", H1430="Technical Degree", "Curso Técnico", H1430="Marketing", "Marketing", H1430="Human Resources", "Recursos Humanos")</f>
        <v>Médico</v>
      </c>
      <c r="AL1430" t="str" cm="1">
        <f t="array" ref="AL143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31" spans="1:38" x14ac:dyDescent="0.25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IF(tbRh[[#This Row],[Gender]]="Female","Feminino","Masculino")</f>
        <v>Masculino</v>
      </c>
      <c r="AK1431" t="str" cm="1">
        <f t="array" ref="AK1431">_xlfn.IFS(H1431="Life Sciences", "Ciências da Vida", H1431="Other", "Outro", H1431="Medical", "Médico", H1431="Technical Degree", "Curso Técnico", H1431="Marketing", "Marketing", H1431="Human Resources", "Recursos Humanos")</f>
        <v>Ciências da Vida</v>
      </c>
      <c r="AL1431" t="str" cm="1">
        <f t="array" ref="AL143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32" spans="1:38" x14ac:dyDescent="0.25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IF(tbRh[[#This Row],[Gender]]="Female","Feminino","Masculino")</f>
        <v>Feminino</v>
      </c>
      <c r="AK1432" t="str" cm="1">
        <f t="array" ref="AK1432">_xlfn.IFS(H1432="Life Sciences", "Ciências da Vida", H1432="Other", "Outro", H1432="Medical", "Médico", H1432="Technical Degree", "Curso Técnico", H1432="Marketing", "Marketing", H1432="Human Resources", "Recursos Humanos")</f>
        <v>Médico</v>
      </c>
      <c r="AL1432" t="str" cm="1">
        <f t="array" ref="AL143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33" spans="1:38" x14ac:dyDescent="0.25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IF(tbRh[[#This Row],[Gender]]="Female","Feminino","Masculino")</f>
        <v>Feminino</v>
      </c>
      <c r="AK1433" t="str" cm="1">
        <f t="array" ref="AK1433">_xlfn.IFS(H1433="Life Sciences", "Ciências da Vida", H1433="Other", "Outro", H1433="Medical", "Médico", H1433="Technical Degree", "Curso Técnico", H1433="Marketing", "Marketing", H1433="Human Resources", "Recursos Humanos")</f>
        <v>Marketing</v>
      </c>
      <c r="AL1433" t="str" cm="1">
        <f t="array" ref="AL143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34" spans="1:38" x14ac:dyDescent="0.25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IF(tbRh[[#This Row],[Gender]]="Female","Feminino","Masculino")</f>
        <v>Feminino</v>
      </c>
      <c r="AK1434" t="str" cm="1">
        <f t="array" ref="AK1434">_xlfn.IFS(H1434="Life Sciences", "Ciências da Vida", H1434="Other", "Outro", H1434="Medical", "Médico", H1434="Technical Degree", "Curso Técnico", H1434="Marketing", "Marketing", H1434="Human Resources", "Recursos Humanos")</f>
        <v>Ciências da Vida</v>
      </c>
      <c r="AL1434" t="str" cm="1">
        <f t="array" ref="AL143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35" spans="1:38" x14ac:dyDescent="0.25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IF(tbRh[[#This Row],[Gender]]="Female","Feminino","Masculino")</f>
        <v>Feminino</v>
      </c>
      <c r="AK1435" t="str" cm="1">
        <f t="array" ref="AK1435">_xlfn.IFS(H1435="Life Sciences", "Ciências da Vida", H1435="Other", "Outro", H1435="Medical", "Médico", H1435="Technical Degree", "Curso Técnico", H1435="Marketing", "Marketing", H1435="Human Resources", "Recursos Humanos")</f>
        <v>Outro</v>
      </c>
      <c r="AL1435" t="str" cm="1">
        <f t="array" ref="AL143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36" spans="1:38" x14ac:dyDescent="0.25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IF(tbRh[[#This Row],[Gender]]="Female","Feminino","Masculino")</f>
        <v>Masculino</v>
      </c>
      <c r="AK1436" t="str" cm="1">
        <f t="array" ref="AK1436">_xlfn.IFS(H1436="Life Sciences", "Ciências da Vida", H1436="Other", "Outro", H1436="Medical", "Médico", H1436="Technical Degree", "Curso Técnico", H1436="Marketing", "Marketing", H1436="Human Resources", "Recursos Humanos")</f>
        <v>Ciências da Vida</v>
      </c>
      <c r="AL1436" t="str" cm="1">
        <f t="array" ref="AL143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37" spans="1:38" x14ac:dyDescent="0.25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IF(tbRh[[#This Row],[Gender]]="Female","Feminino","Masculino")</f>
        <v>Masculino</v>
      </c>
      <c r="AK1437" t="str" cm="1">
        <f t="array" ref="AK1437">_xlfn.IFS(H1437="Life Sciences", "Ciências da Vida", H1437="Other", "Outro", H1437="Medical", "Médico", H1437="Technical Degree", "Curso Técnico", H1437="Marketing", "Marketing", H1437="Human Resources", "Recursos Humanos")</f>
        <v>Médico</v>
      </c>
      <c r="AL1437" t="str" cm="1">
        <f t="array" ref="AL143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38" spans="1:38" x14ac:dyDescent="0.25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IF(tbRh[[#This Row],[Gender]]="Female","Feminino","Masculino")</f>
        <v>Masculino</v>
      </c>
      <c r="AK1438" t="str" cm="1">
        <f t="array" ref="AK1438">_xlfn.IFS(H1438="Life Sciences", "Ciências da Vida", H1438="Other", "Outro", H1438="Medical", "Médico", H1438="Technical Degree", "Curso Técnico", H1438="Marketing", "Marketing", H1438="Human Resources", "Recursos Humanos")</f>
        <v>Médico</v>
      </c>
      <c r="AL1438" t="str" cm="1">
        <f t="array" ref="AL143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39" spans="1:38" x14ac:dyDescent="0.25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IF(tbRh[[#This Row],[Gender]]="Female","Feminino","Masculino")</f>
        <v>Masculino</v>
      </c>
      <c r="AK1439" t="str" cm="1">
        <f t="array" ref="AK1439">_xlfn.IFS(H1439="Life Sciences", "Ciências da Vida", H1439="Other", "Outro", H1439="Medical", "Médico", H1439="Technical Degree", "Curso Técnico", H1439="Marketing", "Marketing", H1439="Human Resources", "Recursos Humanos")</f>
        <v>Ciências da Vida</v>
      </c>
      <c r="AL1439" t="str" cm="1">
        <f t="array" ref="AL143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0" spans="1:38" x14ac:dyDescent="0.25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IF(tbRh[[#This Row],[Gender]]="Female","Feminino","Masculino")</f>
        <v>Masculino</v>
      </c>
      <c r="AK1440" t="str" cm="1">
        <f t="array" ref="AK1440">_xlfn.IFS(H1440="Life Sciences", "Ciências da Vida", H1440="Other", "Outro", H1440="Medical", "Médico", H1440="Technical Degree", "Curso Técnico", H1440="Marketing", "Marketing", H1440="Human Resources", "Recursos Humanos")</f>
        <v>Marketing</v>
      </c>
      <c r="AL1440" t="str" cm="1">
        <f t="array" ref="AL144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41" spans="1:38" x14ac:dyDescent="0.25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IF(tbRh[[#This Row],[Gender]]="Female","Feminino","Masculino")</f>
        <v>Feminino</v>
      </c>
      <c r="AK1441" t="str" cm="1">
        <f t="array" ref="AK1441">_xlfn.IFS(H1441="Life Sciences", "Ciências da Vida", H1441="Other", "Outro", H1441="Medical", "Médico", H1441="Technical Degree", "Curso Técnico", H1441="Marketing", "Marketing", H1441="Human Resources", "Recursos Humanos")</f>
        <v>Médico</v>
      </c>
      <c r="AL1441" t="str" cm="1">
        <f t="array" ref="AL1441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42" spans="1:38" x14ac:dyDescent="0.25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IF(tbRh[[#This Row],[Gender]]="Female","Feminino","Masculino")</f>
        <v>Feminino</v>
      </c>
      <c r="AK1442" t="str" cm="1">
        <f t="array" ref="AK1442">_xlfn.IFS(H1442="Life Sciences", "Ciências da Vida", H1442="Other", "Outro", H1442="Medical", "Médico", H1442="Technical Degree", "Curso Técnico", H1442="Marketing", "Marketing", H1442="Human Resources", "Recursos Humanos")</f>
        <v>Ciências da Vida</v>
      </c>
      <c r="AL1442" t="str" cm="1">
        <f t="array" ref="AL144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3" spans="1:38" x14ac:dyDescent="0.25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IF(tbRh[[#This Row],[Gender]]="Female","Feminino","Masculino")</f>
        <v>Masculino</v>
      </c>
      <c r="AK1443" t="str" cm="1">
        <f t="array" ref="AK1443">_xlfn.IFS(H1443="Life Sciences", "Ciências da Vida", H1443="Other", "Outro", H1443="Medical", "Médico", H1443="Technical Degree", "Curso Técnico", H1443="Marketing", "Marketing", H1443="Human Resources", "Recursos Humanos")</f>
        <v>Ciências da Vida</v>
      </c>
      <c r="AL1443" t="str" cm="1">
        <f t="array" ref="AL1443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4" spans="1:38" x14ac:dyDescent="0.25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IF(tbRh[[#This Row],[Gender]]="Female","Feminino","Masculino")</f>
        <v>Masculino</v>
      </c>
      <c r="AK1444" t="str" cm="1">
        <f t="array" ref="AK1444">_xlfn.IFS(H1444="Life Sciences", "Ciências da Vida", H1444="Other", "Outro", H1444="Medical", "Médico", H1444="Technical Degree", "Curso Técnico", H1444="Marketing", "Marketing", H1444="Human Resources", "Recursos Humanos")</f>
        <v>Médico</v>
      </c>
      <c r="AL1444" t="str" cm="1">
        <f t="array" ref="AL1444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5" spans="1:38" x14ac:dyDescent="0.25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IF(tbRh[[#This Row],[Gender]]="Female","Feminino","Masculino")</f>
        <v>Masculino</v>
      </c>
      <c r="AK1445" t="str" cm="1">
        <f t="array" ref="AK1445">_xlfn.IFS(H1445="Life Sciences", "Ciências da Vida", H1445="Other", "Outro", H1445="Medical", "Médico", H1445="Technical Degree", "Curso Técnico", H1445="Marketing", "Marketing", H1445="Human Resources", "Recursos Humanos")</f>
        <v>Ciências da Vida</v>
      </c>
      <c r="AL1445" t="str" cm="1">
        <f t="array" ref="AL144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6" spans="1:38" x14ac:dyDescent="0.25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IF(tbRh[[#This Row],[Gender]]="Female","Feminino","Masculino")</f>
        <v>Masculino</v>
      </c>
      <c r="AK1446" t="str" cm="1">
        <f t="array" ref="AK1446">_xlfn.IFS(H1446="Life Sciences", "Ciências da Vida", H1446="Other", "Outro", H1446="Medical", "Médico", H1446="Technical Degree", "Curso Técnico", H1446="Marketing", "Marketing", H1446="Human Resources", "Recursos Humanos")</f>
        <v>Curso Técnico</v>
      </c>
      <c r="AL1446" t="str" cm="1">
        <f t="array" ref="AL1446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7" spans="1:38" x14ac:dyDescent="0.25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IF(tbRh[[#This Row],[Gender]]="Female","Feminino","Masculino")</f>
        <v>Feminino</v>
      </c>
      <c r="AK1447" t="str" cm="1">
        <f t="array" ref="AK1447">_xlfn.IFS(H1447="Life Sciences", "Ciências da Vida", H1447="Other", "Outro", H1447="Medical", "Médico", H1447="Technical Degree", "Curso Técnico", H1447="Marketing", "Marketing", H1447="Human Resources", "Recursos Humanos")</f>
        <v>Ciências da Vida</v>
      </c>
      <c r="AL1447" t="str" cm="1">
        <f t="array" ref="AL144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48" spans="1:38" x14ac:dyDescent="0.25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IF(tbRh[[#This Row],[Gender]]="Female","Feminino","Masculino")</f>
        <v>Feminino</v>
      </c>
      <c r="AK1448" t="str" cm="1">
        <f t="array" ref="AK1448">_xlfn.IFS(H1448="Life Sciences", "Ciências da Vida", H1448="Other", "Outro", H1448="Medical", "Médico", H1448="Technical Degree", "Curso Técnico", H1448="Marketing", "Marketing", H1448="Human Resources", "Recursos Humanos")</f>
        <v>Marketing</v>
      </c>
      <c r="AL1448" t="str" cm="1">
        <f t="array" ref="AL1448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49" spans="1:38" x14ac:dyDescent="0.25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IF(tbRh[[#This Row],[Gender]]="Female","Feminino","Masculino")</f>
        <v>Masculino</v>
      </c>
      <c r="AK1449" t="str" cm="1">
        <f t="array" ref="AK1449">_xlfn.IFS(H1449="Life Sciences", "Ciências da Vida", H1449="Other", "Outro", H1449="Medical", "Médico", H1449="Technical Degree", "Curso Técnico", H1449="Marketing", "Marketing", H1449="Human Resources", "Recursos Humanos")</f>
        <v>Marketing</v>
      </c>
      <c r="AL1449" t="str" cm="1">
        <f t="array" ref="AL1449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50" spans="1:38" x14ac:dyDescent="0.25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IF(tbRh[[#This Row],[Gender]]="Female","Feminino","Masculino")</f>
        <v>Masculino</v>
      </c>
      <c r="AK1450" t="str" cm="1">
        <f t="array" ref="AK1450">_xlfn.IFS(H1450="Life Sciences", "Ciências da Vida", H1450="Other", "Outro", H1450="Medical", "Médico", H1450="Technical Degree", "Curso Técnico", H1450="Marketing", "Marketing", H1450="Human Resources", "Recursos Humanos")</f>
        <v>Ciências da Vida</v>
      </c>
      <c r="AL1450" t="str" cm="1">
        <f t="array" ref="AL145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51" spans="1:38" x14ac:dyDescent="0.25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IF(tbRh[[#This Row],[Gender]]="Female","Feminino","Masculino")</f>
        <v>Masculino</v>
      </c>
      <c r="AK1451" t="str" cm="1">
        <f t="array" ref="AK1451">_xlfn.IFS(H1451="Life Sciences", "Ciências da Vida", H1451="Other", "Outro", H1451="Medical", "Médico", H1451="Technical Degree", "Curso Técnico", H1451="Marketing", "Marketing", H1451="Human Resources", "Recursos Humanos")</f>
        <v>Curso Técnico</v>
      </c>
      <c r="AL1451" t="str" cm="1">
        <f t="array" ref="AL145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52" spans="1:38" x14ac:dyDescent="0.25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IF(tbRh[[#This Row],[Gender]]="Female","Feminino","Masculino")</f>
        <v>Feminino</v>
      </c>
      <c r="AK1452" t="str" cm="1">
        <f t="array" ref="AK1452">_xlfn.IFS(H1452="Life Sciences", "Ciências da Vida", H1452="Other", "Outro", H1452="Medical", "Médico", H1452="Technical Degree", "Curso Técnico", H1452="Marketing", "Marketing", H1452="Human Resources", "Recursos Humanos")</f>
        <v>Ciências da Vida</v>
      </c>
      <c r="AL1452" t="str" cm="1">
        <f t="array" ref="AL1452">_xlfn.IFS(tbRh[[#This Row],[Department]]="Sales","Vendas",tbRh[[#This Row],[Department]]="Research &amp; Development","Pesquisa e Desenvolvimento(P&amp;D)",tbRh[[#This Row],[Department]]="Human Resources","Recursos Humanos(RH)" )</f>
        <v>Recursos Humanos(RH)</v>
      </c>
    </row>
    <row r="1453" spans="1:38" x14ac:dyDescent="0.25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IF(tbRh[[#This Row],[Gender]]="Female","Feminino","Masculino")</f>
        <v>Feminino</v>
      </c>
      <c r="AK1453" t="str" cm="1">
        <f t="array" ref="AK1453">_xlfn.IFS(H1453="Life Sciences", "Ciências da Vida", H1453="Other", "Outro", H1453="Medical", "Médico", H1453="Technical Degree", "Curso Técnico", H1453="Marketing", "Marketing", H1453="Human Resources", "Recursos Humanos")</f>
        <v>Ciências da Vida</v>
      </c>
      <c r="AL1453" t="str" cm="1">
        <f t="array" ref="AL145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54" spans="1:38" x14ac:dyDescent="0.25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IF(tbRh[[#This Row],[Gender]]="Female","Feminino","Masculino")</f>
        <v>Masculino</v>
      </c>
      <c r="AK1454" t="str" cm="1">
        <f t="array" ref="AK1454">_xlfn.IFS(H1454="Life Sciences", "Ciências da Vida", H1454="Other", "Outro", H1454="Medical", "Médico", H1454="Technical Degree", "Curso Técnico", H1454="Marketing", "Marketing", H1454="Human Resources", "Recursos Humanos")</f>
        <v>Ciências da Vida</v>
      </c>
      <c r="AL1454" t="str" cm="1">
        <f t="array" ref="AL145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55" spans="1:38" x14ac:dyDescent="0.25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IF(tbRh[[#This Row],[Gender]]="Female","Feminino","Masculino")</f>
        <v>Feminino</v>
      </c>
      <c r="AK1455" t="str" cm="1">
        <f t="array" ref="AK1455">_xlfn.IFS(H1455="Life Sciences", "Ciências da Vida", H1455="Other", "Outro", H1455="Medical", "Médico", H1455="Technical Degree", "Curso Técnico", H1455="Marketing", "Marketing", H1455="Human Resources", "Recursos Humanos")</f>
        <v>Marketing</v>
      </c>
      <c r="AL1455" t="str" cm="1">
        <f t="array" ref="AL1455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56" spans="1:38" x14ac:dyDescent="0.25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IF(tbRh[[#This Row],[Gender]]="Female","Feminino","Masculino")</f>
        <v>Feminino</v>
      </c>
      <c r="AK1456" t="str" cm="1">
        <f t="array" ref="AK1456">_xlfn.IFS(H1456="Life Sciences", "Ciências da Vida", H1456="Other", "Outro", H1456="Medical", "Médico", H1456="Technical Degree", "Curso Técnico", H1456="Marketing", "Marketing", H1456="Human Resources", "Recursos Humanos")</f>
        <v>Ciências da Vida</v>
      </c>
      <c r="AL1456" t="str" cm="1">
        <f t="array" ref="AL145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57" spans="1:38" x14ac:dyDescent="0.25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IF(tbRh[[#This Row],[Gender]]="Female","Feminino","Masculino")</f>
        <v>Masculino</v>
      </c>
      <c r="AK1457" t="str" cm="1">
        <f t="array" ref="AK1457">_xlfn.IFS(H1457="Life Sciences", "Ciências da Vida", H1457="Other", "Outro", H1457="Medical", "Médico", H1457="Technical Degree", "Curso Técnico", H1457="Marketing", "Marketing", H1457="Human Resources", "Recursos Humanos")</f>
        <v>Ciências da Vida</v>
      </c>
      <c r="AL1457" t="str" cm="1">
        <f t="array" ref="AL145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58" spans="1:38" x14ac:dyDescent="0.25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IF(tbRh[[#This Row],[Gender]]="Female","Feminino","Masculino")</f>
        <v>Masculino</v>
      </c>
      <c r="AK1458" t="str" cm="1">
        <f t="array" ref="AK1458">_xlfn.IFS(H1458="Life Sciences", "Ciências da Vida", H1458="Other", "Outro", H1458="Medical", "Médico", H1458="Technical Degree", "Curso Técnico", H1458="Marketing", "Marketing", H1458="Human Resources", "Recursos Humanos")</f>
        <v>Ciências da Vida</v>
      </c>
      <c r="AL1458" t="str" cm="1">
        <f t="array" ref="AL145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59" spans="1:38" x14ac:dyDescent="0.25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IF(tbRh[[#This Row],[Gender]]="Female","Feminino","Masculino")</f>
        <v>Feminino</v>
      </c>
      <c r="AK1459" t="str" cm="1">
        <f t="array" ref="AK1459">_xlfn.IFS(H1459="Life Sciences", "Ciências da Vida", H1459="Other", "Outro", H1459="Medical", "Médico", H1459="Technical Degree", "Curso Técnico", H1459="Marketing", "Marketing", H1459="Human Resources", "Recursos Humanos")</f>
        <v>Médico</v>
      </c>
      <c r="AL1459" t="str" cm="1">
        <f t="array" ref="AL145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0" spans="1:38" x14ac:dyDescent="0.25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IF(tbRh[[#This Row],[Gender]]="Female","Feminino","Masculino")</f>
        <v>Feminino</v>
      </c>
      <c r="AK1460" t="str" cm="1">
        <f t="array" ref="AK1460">_xlfn.IFS(H1460="Life Sciences", "Ciências da Vida", H1460="Other", "Outro", H1460="Medical", "Médico", H1460="Technical Degree", "Curso Técnico", H1460="Marketing", "Marketing", H1460="Human Resources", "Recursos Humanos")</f>
        <v>Ciências da Vida</v>
      </c>
      <c r="AL1460" t="str" cm="1">
        <f t="array" ref="AL1460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1" spans="1:38" x14ac:dyDescent="0.25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IF(tbRh[[#This Row],[Gender]]="Female","Feminino","Masculino")</f>
        <v>Masculino</v>
      </c>
      <c r="AK1461" t="str" cm="1">
        <f t="array" ref="AK1461">_xlfn.IFS(H1461="Life Sciences", "Ciências da Vida", H1461="Other", "Outro", H1461="Medical", "Médico", H1461="Technical Degree", "Curso Técnico", H1461="Marketing", "Marketing", H1461="Human Resources", "Recursos Humanos")</f>
        <v>Outro</v>
      </c>
      <c r="AL1461" t="str" cm="1">
        <f t="array" ref="AL146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2" spans="1:38" x14ac:dyDescent="0.25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IF(tbRh[[#This Row],[Gender]]="Female","Feminino","Masculino")</f>
        <v>Feminino</v>
      </c>
      <c r="AK1462" t="str" cm="1">
        <f t="array" ref="AK1462">_xlfn.IFS(H1462="Life Sciences", "Ciências da Vida", H1462="Other", "Outro", H1462="Medical", "Médico", H1462="Technical Degree", "Curso Técnico", H1462="Marketing", "Marketing", H1462="Human Resources", "Recursos Humanos")</f>
        <v>Médico</v>
      </c>
      <c r="AL1462" t="str" cm="1">
        <f t="array" ref="AL1462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3" spans="1:38" x14ac:dyDescent="0.25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IF(tbRh[[#This Row],[Gender]]="Female","Feminino","Masculino")</f>
        <v>Masculino</v>
      </c>
      <c r="AK1463" t="str" cm="1">
        <f t="array" ref="AK1463">_xlfn.IFS(H1463="Life Sciences", "Ciências da Vida", H1463="Other", "Outro", H1463="Medical", "Médico", H1463="Technical Degree", "Curso Técnico", H1463="Marketing", "Marketing", H1463="Human Resources", "Recursos Humanos")</f>
        <v>Marketing</v>
      </c>
      <c r="AL1463" t="str" cm="1">
        <f t="array" ref="AL1463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64" spans="1:38" x14ac:dyDescent="0.25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IF(tbRh[[#This Row],[Gender]]="Female","Feminino","Masculino")</f>
        <v>Feminino</v>
      </c>
      <c r="AK1464" t="str" cm="1">
        <f t="array" ref="AK1464">_xlfn.IFS(H1464="Life Sciences", "Ciências da Vida", H1464="Other", "Outro", H1464="Medical", "Médico", H1464="Technical Degree", "Curso Técnico", H1464="Marketing", "Marketing", H1464="Human Resources", "Recursos Humanos")</f>
        <v>Marketing</v>
      </c>
      <c r="AL1464" t="str" cm="1">
        <f t="array" ref="AL1464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65" spans="1:38" x14ac:dyDescent="0.25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IF(tbRh[[#This Row],[Gender]]="Female","Feminino","Masculino")</f>
        <v>Masculino</v>
      </c>
      <c r="AK1465" t="str" cm="1">
        <f t="array" ref="AK1465">_xlfn.IFS(H1465="Life Sciences", "Ciências da Vida", H1465="Other", "Outro", H1465="Medical", "Médico", H1465="Technical Degree", "Curso Técnico", H1465="Marketing", "Marketing", H1465="Human Resources", "Recursos Humanos")</f>
        <v>Médico</v>
      </c>
      <c r="AL1465" t="str" cm="1">
        <f t="array" ref="AL1465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6" spans="1:38" x14ac:dyDescent="0.25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IF(tbRh[[#This Row],[Gender]]="Female","Feminino","Masculino")</f>
        <v>Feminino</v>
      </c>
      <c r="AK1466" t="str" cm="1">
        <f t="array" ref="AK1466">_xlfn.IFS(H1466="Life Sciences", "Ciências da Vida", H1466="Other", "Outro", H1466="Medical", "Médico", H1466="Technical Degree", "Curso Técnico", H1466="Marketing", "Marketing", H1466="Human Resources", "Recursos Humanos")</f>
        <v>Outro</v>
      </c>
      <c r="AL1466" t="str" cm="1">
        <f t="array" ref="AL1466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67" spans="1:38" x14ac:dyDescent="0.25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IF(tbRh[[#This Row],[Gender]]="Female","Feminino","Masculino")</f>
        <v>Masculino</v>
      </c>
      <c r="AK1467" t="str" cm="1">
        <f t="array" ref="AK1467">_xlfn.IFS(H1467="Life Sciences", "Ciências da Vida", H1467="Other", "Outro", H1467="Medical", "Médico", H1467="Technical Degree", "Curso Técnico", H1467="Marketing", "Marketing", H1467="Human Resources", "Recursos Humanos")</f>
        <v>Médico</v>
      </c>
      <c r="AL1467" t="str" cm="1">
        <f t="array" ref="AL1467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8" spans="1:38" x14ac:dyDescent="0.25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IF(tbRh[[#This Row],[Gender]]="Female","Feminino","Masculino")</f>
        <v>Masculino</v>
      </c>
      <c r="AK1468" t="str" cm="1">
        <f t="array" ref="AK1468">_xlfn.IFS(H1468="Life Sciences", "Ciências da Vida", H1468="Other", "Outro", H1468="Medical", "Médico", H1468="Technical Degree", "Curso Técnico", H1468="Marketing", "Marketing", H1468="Human Resources", "Recursos Humanos")</f>
        <v>Médico</v>
      </c>
      <c r="AL1468" t="str" cm="1">
        <f t="array" ref="AL1468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69" spans="1:38" x14ac:dyDescent="0.25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IF(tbRh[[#This Row],[Gender]]="Female","Feminino","Masculino")</f>
        <v>Masculino</v>
      </c>
      <c r="AK1469" t="str" cm="1">
        <f t="array" ref="AK1469">_xlfn.IFS(H1469="Life Sciences", "Ciências da Vida", H1469="Other", "Outro", H1469="Medical", "Médico", H1469="Technical Degree", "Curso Técnico", H1469="Marketing", "Marketing", H1469="Human Resources", "Recursos Humanos")</f>
        <v>Ciências da Vida</v>
      </c>
      <c r="AL1469" t="str" cm="1">
        <f t="array" ref="AL1469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  <row r="1470" spans="1:38" x14ac:dyDescent="0.25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IF(tbRh[[#This Row],[Gender]]="Female","Feminino","Masculino")</f>
        <v>Masculino</v>
      </c>
      <c r="AK1470" t="str" cm="1">
        <f t="array" ref="AK1470">_xlfn.IFS(H1470="Life Sciences", "Ciências da Vida", H1470="Other", "Outro", H1470="Medical", "Médico", H1470="Technical Degree", "Curso Técnico", H1470="Marketing", "Marketing", H1470="Human Resources", "Recursos Humanos")</f>
        <v>Médico</v>
      </c>
      <c r="AL1470" t="str" cm="1">
        <f t="array" ref="AL1470">_xlfn.IFS(tbRh[[#This Row],[Department]]="Sales","Vendas",tbRh[[#This Row],[Department]]="Research &amp; Development","Pesquisa e Desenvolvimento(P&amp;D)",tbRh[[#This Row],[Department]]="Human Resources","Recursos Humanos(RH)" )</f>
        <v>Vendas</v>
      </c>
    </row>
    <row r="1471" spans="1:38" x14ac:dyDescent="0.25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IF(tbRh[[#This Row],[Gender]]="Female","Feminino","Masculino")</f>
        <v>Masculino</v>
      </c>
      <c r="AK1471" t="str" cm="1">
        <f t="array" ref="AK1471">_xlfn.IFS(H1471="Life Sciences", "Ciências da Vida", H1471="Other", "Outro", H1471="Medical", "Médico", H1471="Technical Degree", "Curso Técnico", H1471="Marketing", "Marketing", H1471="Human Resources", "Recursos Humanos")</f>
        <v>Médico</v>
      </c>
      <c r="AL1471" t="str" cm="1">
        <f t="array" ref="AL1471">_xlfn.IFS(tbRh[[#This Row],[Department]]="Sales","Vendas",tbRh[[#This Row],[Department]]="Research &amp; Development","Pesquisa e Desenvolvimento(P&amp;D)",tbRh[[#This Row],[Department]]="Human Resources","Recursos Humanos(RH)" )</f>
        <v>Pesquisa e Desenvolvimento(P&amp;D)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4FC00-6FAC-4DDD-83F3-362328C680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Dashboard</vt:lpstr>
      <vt:lpstr>analise_estado_civil</vt:lpstr>
      <vt:lpstr>analise_geral</vt:lpstr>
      <vt:lpstr>analise_genero</vt:lpstr>
      <vt:lpstr>analise_educacao</vt:lpstr>
      <vt:lpstr>analise_cargo</vt:lpstr>
      <vt:lpstr>analise_departamento</vt:lpstr>
      <vt:lpstr>analise_idade</vt:lpstr>
      <vt:lpstr>DadosRh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Silva</dc:creator>
  <cp:lastModifiedBy>Lucas Silva</cp:lastModifiedBy>
  <dcterms:created xsi:type="dcterms:W3CDTF">2026-03-11T22:13:50Z</dcterms:created>
  <dcterms:modified xsi:type="dcterms:W3CDTF">2026-03-12T17:11:38Z</dcterms:modified>
</cp:coreProperties>
</file>